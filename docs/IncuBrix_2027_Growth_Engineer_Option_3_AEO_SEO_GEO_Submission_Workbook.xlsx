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QUESTIONS" sheetId="3" state="visible" r:id="rId3"/>
    <sheet name="02b_FIXES" sheetId="4" state="visible" r:id="rId4"/>
    <sheet name="02c_PAGES_CITATIONS" sheetId="5" state="visible" r:id="rId5"/>
    <sheet name="03_ENGINE_LAUNCH" sheetId="6" state="visible" r:id="rId6"/>
    <sheet name="04_SELF_CHECK"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3: AEO, SEO and GEO Visibility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VARNIKA S R</t>
        </is>
      </c>
      <c r="D5" s="24" t="n">
        <v>1</v>
      </c>
      <c r="E5" s="24" t="inlineStr">
        <is>
          <t>Completed workbook</t>
        </is>
      </c>
      <c r="F5" s="23" t="inlineStr">
        <is>
          <t>Yes</t>
        </is>
      </c>
    </row>
    <row r="6" ht="15" customHeight="1" s="15">
      <c r="A6" s="22" t="inlineStr">
        <is>
          <t>Full name</t>
        </is>
      </c>
      <c r="B6" s="23" t="inlineStr">
        <is>
          <t>VARNIKA S R</t>
        </is>
      </c>
      <c r="D6" s="24" t="n">
        <v>2</v>
      </c>
      <c r="E6" s="24" t="inlineStr">
        <is>
          <t>Main output files</t>
        </is>
      </c>
      <c r="F6" s="23" t="inlineStr">
        <is>
          <t>Yes</t>
        </is>
      </c>
    </row>
    <row r="7" ht="15" customHeight="1" s="15">
      <c r="A7" s="22" t="inlineStr">
        <is>
          <t>Registered email</t>
        </is>
      </c>
      <c r="B7" s="23" t="inlineStr">
        <is>
          <t>srvarnika7@gmail.com</t>
        </is>
      </c>
      <c r="D7" s="24" t="n">
        <v>3</v>
      </c>
      <c r="E7" s="24" t="inlineStr">
        <is>
          <t>Engine repository + README</t>
        </is>
      </c>
      <c r="F7" s="23" t="inlineStr">
        <is>
          <t>Yes</t>
        </is>
      </c>
    </row>
    <row r="8" ht="15" customHeight="1" s="15">
      <c r="A8" s="22" t="inlineStr">
        <is>
          <t>College and degree</t>
        </is>
      </c>
      <c r="B8" s="23" t="inlineStr">
        <is>
          <t>Btech IT</t>
        </is>
      </c>
      <c r="D8" s="24" t="n">
        <v>4</v>
      </c>
      <c r="E8" s="24" t="inlineStr">
        <is>
          <t>Launch kit</t>
        </is>
      </c>
      <c r="F8" s="23" t="inlineStr">
        <is>
          <t>Yes</t>
        </is>
      </c>
    </row>
    <row r="9" ht="15" customHeight="1" s="15">
      <c r="A9" s="22" t="inlineStr">
        <is>
          <t>Assessment start (date/time)</t>
        </is>
      </c>
      <c r="B9" s="23" t="inlineStr">
        <is>
          <t>24.10.26</t>
        </is>
      </c>
      <c r="D9" s="24" t="n">
        <v>5</v>
      </c>
      <c r="E9" s="24" t="inlineStr">
        <is>
          <t>Both video links</t>
        </is>
      </c>
      <c r="F9" s="23" t="inlineStr">
        <is>
          <t>Yes</t>
        </is>
      </c>
    </row>
    <row r="10" ht="15" customHeight="1" s="15">
      <c r="A10" s="22" t="inlineStr">
        <is>
          <t>Submission time (date/time)</t>
        </is>
      </c>
      <c r="B10" s="23" t="inlineStr">
        <is>
          <t>31.10.26</t>
        </is>
      </c>
      <c r="D10" s="24" t="n">
        <v>6</v>
      </c>
      <c r="E10" s="24" t="inlineStr">
        <is>
          <t>Declaration accepted (row below)</t>
        </is>
      </c>
      <c r="F10" s="23" t="inlineStr">
        <is>
          <t>Yes</t>
        </is>
      </c>
    </row>
    <row r="11" ht="15" customHeight="1" s="15">
      <c r="A11" s="22" t="inlineStr">
        <is>
          <t>Main output folder URL</t>
        </is>
      </c>
      <c r="B11" s="23" t="inlineStr">
        <is>
          <t>https://github.com/Varnika2005/Incubrix2/tree/main/submission</t>
        </is>
      </c>
    </row>
    <row r="12" ht="15" customHeight="1" s="15">
      <c r="A12" s="22" t="inlineStr">
        <is>
          <t>Repository or workflow URL</t>
        </is>
      </c>
      <c r="B12" s="23" t="inlineStr">
        <is>
          <t>https://github.com/Varnika2005/Incubrix2.git</t>
        </is>
      </c>
    </row>
    <row r="13" ht="15" customHeight="1" s="15">
      <c r="A13" s="22" t="inlineStr">
        <is>
          <t>Launch kit URL</t>
        </is>
      </c>
      <c r="B13" s="23" t="inlineStr">
        <is>
          <t>https://github.com/Varnika2005/Incubrix2/blob/main/submission/launch_kit/90_DAY_LAUNCH_KIT.md</t>
        </is>
      </c>
    </row>
    <row r="14" ht="23.85" customHeight="1" s="15">
      <c r="A14" s="22" t="inlineStr">
        <is>
          <t>Product walkthrough video URL (max 5 min)</t>
        </is>
      </c>
      <c r="B14" s="23" t="inlineStr">
        <is>
          <t>https://drive.google.com/drive/folders/1_zW9sUntcIPquDLOnucu6LxumG-ddgFI?usp=sharing</t>
        </is>
      </c>
    </row>
    <row r="15" ht="23.85" customHeight="1" s="15">
      <c r="A15" s="22" t="inlineStr">
        <is>
          <t>Technical demo video URL (max 8 min)</t>
        </is>
      </c>
      <c r="B15" s="23" t="inlineStr">
        <is>
          <t>https://drive.google.com/drive/folders/1_zW9sUntcIPquDLOnucu6LxumG-ddgFI?usp=sharing</t>
        </is>
      </c>
    </row>
    <row r="16" ht="23.85" customHeight="1" s="15">
      <c r="A16" s="22" t="inlineStr">
        <is>
          <t>AI tools, data sources and services used</t>
        </is>
      </c>
      <c r="B16" s="23" t="inlineStr">
        <is>
          <t>Google Gemini 2.5 Flash, OpenAI GPT-4o / ChatGPT, Claude 3.5 Sonnet, Perplexity Sonar, Python, Node.js SQLite WAL, Playwright, React 19, Tailwind CSS v4</t>
        </is>
      </c>
    </row>
    <row r="17" ht="15" customHeight="1" s="15">
      <c r="A17" s="22" t="inlineStr">
        <is>
          <t>Total money spent (if any) and on what</t>
        </is>
      </c>
      <c r="B17" s="23" t="inlineStr">
        <is>
          <t>$0.00 (Zero paid tools; free-tier APIs and standard libraries used exclusively)</t>
        </is>
      </c>
    </row>
    <row r="18" ht="23.85" customHeight="1" s="15">
      <c r="A18" s="22" t="inlineStr">
        <is>
          <t>Manual work disclosed (what and how much)</t>
        </is>
      </c>
      <c r="B18" s="23" t="inlineStr">
        <is>
          <t>Live HTTP technical audit on incubrix.com, manual provenance extraction for 100 creator questions, 30 third-party citation verification checks, editorial review of 10 AEO/GEO content pages</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Content Insights (/insights)</t>
        </is>
      </c>
      <c r="C6" s="23" t="inlineStr">
        <is>
          <t>Analyzed pre-recording workflow; creators struggle to find high-demand topics before filming. Tested IncuBrix niche trend scanner.</t>
        </is>
      </c>
      <c r="D6" s="23" t="inlineStr">
        <is>
          <t>Automated gap detection worked well; difficult without historical keyword volume overlay.</t>
        </is>
      </c>
      <c r="E6" s="23" t="inlineStr">
        <is>
          <t>https://incubrix.com/#insights / data/evidence/crawl/index.html</t>
        </is>
      </c>
      <c r="F6" s="23" t="inlineStr">
        <is>
          <t>Creates an organic top-of-funnel entry point for creators looking for 'what video to make next'.</t>
        </is>
      </c>
    </row>
    <row r="7" ht="15" customHeight="1" s="15">
      <c r="A7" s="24" t="n">
        <v>2</v>
      </c>
      <c r="B7" s="23" t="inlineStr">
        <is>
          <t>Transcript-Based Video Editing (/studio)</t>
        </is>
      </c>
      <c r="C7" s="23" t="inlineStr">
        <is>
          <t>Tested video timeline trimming via text transcript deletion. Highlighting text cuts underlying frames.</t>
        </is>
      </c>
      <c r="D7" s="23" t="inlineStr">
        <is>
          <t>Fastest way for solo creators to edit; difficult to sync fine cuts at sub-second word boundaries.</t>
        </is>
      </c>
      <c r="E7" s="23" t="inlineStr">
        <is>
          <t>https://incubrix.com/how-it-works / data/evidence/crawl/how-it-works.html</t>
        </is>
      </c>
      <c r="F7" s="23" t="inlineStr">
        <is>
          <t>Directly competes with Descript on text-first editing without heavy desktop installation.</t>
        </is>
      </c>
    </row>
    <row r="8" ht="15" customHeight="1" s="15">
      <c r="A8" s="24" t="n">
        <v>3</v>
      </c>
      <c r="B8" s="23" t="inlineStr">
        <is>
          <t>1-Hour to 12-Clip Extraction (/studio)</t>
        </is>
      </c>
      <c r="C8" s="23" t="inlineStr">
        <is>
          <t>Evaluated automated short-clip generation from a single 60-minute long-form upload.</t>
        </is>
      </c>
      <c r="D8" s="23" t="inlineStr">
        <is>
          <t>Automatically identifies punchy hooks; difficult to predict exact vertical safe zones across diverse social UIs.</t>
        </is>
      </c>
      <c r="E8" s="23" t="inlineStr">
        <is>
          <t>https://incubrix.com/ / data/evidence/crawl/index.html</t>
        </is>
      </c>
      <c r="F8" s="23" t="inlineStr">
        <is>
          <t>Highest-converting value proposition against OpusClip ('1 hour of recording = 1 week of content').</t>
        </is>
      </c>
    </row>
    <row r="9" ht="15" customHeight="1" s="15">
      <c r="A9" s="24" t="n">
        <v>4</v>
      </c>
      <c r="B9" s="23" t="inlineStr">
        <is>
          <t>Voice Cloning &amp; Digital Avatars (/repurpose)</t>
        </is>
      </c>
      <c r="C9" s="23" t="inlineStr">
        <is>
          <t>Tested talking-head digital avatar generation and voice clone narration for missing intro/outro takes.</t>
        </is>
      </c>
      <c r="D9" s="23" t="inlineStr">
        <is>
          <t>Eliminates camera re-shoots; avatar lip-sync requires high-quality audio prompt to avoid uncanny valley.</t>
        </is>
      </c>
      <c r="E9" s="23" t="inlineStr">
        <is>
          <t>https://incubrix.com/about / data/evidence/crawl/about.html</t>
        </is>
      </c>
      <c r="F9" s="23" t="inlineStr">
        <is>
          <t>Expands TAM to faceless creators and podcasters who do not want to record on camera every week.</t>
        </is>
      </c>
    </row>
    <row r="10" ht="15" customHeight="1" s="15">
      <c r="A10" s="24" t="n">
        <v>5</v>
      </c>
      <c r="B10" s="23" t="inlineStr">
        <is>
          <t>5-Platform Publishing Hub (/publish)</t>
        </is>
      </c>
      <c r="C10" s="23" t="inlineStr">
        <is>
          <t>Tested single-screen publishing to YouTube, Instagram, LinkedIn, Spotify, and Bluesky.</t>
        </is>
      </c>
      <c r="D10" s="23" t="inlineStr">
        <is>
          <t>Native API publishing across 5 networks worked smoothly; automated optimal-time scheduling is currently roadmap-only.</t>
        </is>
      </c>
      <c r="E10" s="23" t="inlineStr">
        <is>
          <t>https://incubrix.com/how-it-works / data/evidence/crawl/how-it-works.html</t>
        </is>
      </c>
      <c r="F10" s="23" t="inlineStr">
        <is>
          <t>Replaces Buffer/Hootsuite for video-first creators by uniting creation, clipping, and distribution in one tab.</t>
        </is>
      </c>
    </row>
    <row r="12" ht="15" customHeight="1" s="15">
      <c r="A12" s="20" t="inlineStr">
        <is>
          <t>B. Three biggest opportunities for AEO, SEO and GEO</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Capture 'AI Video Repurposing Studio' &amp; '1 Hour to 12 Clips' Category Search Demand</t>
        </is>
      </c>
      <c r="C14" s="23" t="inlineStr">
        <is>
          <t>100 creator questions show 35% search queries asking how to repurpose long video into Shorts/Reels; IncuBrix currently has 0 organic top-10 rankings.</t>
        </is>
      </c>
      <c r="D14" s="23" t="inlineStr">
        <is>
          <t>+2,500 monthly organic creator sign-ups across US, UK, and India within 90 days.</t>
        </is>
      </c>
      <c r="E14" s="23" t="inlineStr">
        <is>
          <t>Google Search Console impressions + organic rank tracking on Q-001..Q-030.</t>
        </is>
      </c>
      <c r="F14" s="23" t="inlineStr">
        <is>
          <t>Rank top 10 on Google for 5 primary target keywords with 20 technical fixes deployed.</t>
        </is>
      </c>
    </row>
    <row r="15" ht="15" customHeight="1" s="15">
      <c r="A15" s="24" t="n">
        <v>2</v>
      </c>
      <c r="B15" s="23" t="inlineStr">
        <is>
          <t>Dominate Answer Engine Direct Answers (AEO) for Transcript Editing &amp; Voice Cloning FAQs</t>
        </is>
      </c>
      <c r="C15" s="23" t="inlineStr">
        <is>
          <t>Zero JSON-LD structured data on incubrix.com today; search answer boxes and 'People Also Ask' quote competitor blogs (Descript, VEED).</t>
        </is>
      </c>
      <c r="D15" s="23" t="inlineStr">
        <is>
          <t>Featured snippet placement on 15+ high-volume PAA queries; 3x click-through rate over standard organic links.</t>
        </is>
      </c>
      <c r="E15" s="23" t="inlineStr">
        <is>
          <t>Answer box and People Also Ask appearance tracking in weekly visibility engine runs.</t>
        </is>
      </c>
      <c r="F15" s="23" t="inlineStr">
        <is>
          <t>Deploy 5 FAQPage and HowTo JSON-LD schemas; capture 3 Google Answer Boxes.</t>
        </is>
      </c>
    </row>
    <row r="16" ht="15" customHeight="1" s="15">
      <c r="A16" s="24" t="n">
        <v>3</v>
      </c>
      <c r="B16" s="23" t="inlineStr">
        <is>
          <t>Generative Engine Optimization (GEO) via /llms.txt and Tier-1 Directory Citations</t>
        </is>
      </c>
      <c r="C16" s="23" t="inlineStr">
        <is>
          <t>IncuBrix currently returns HTTP 404 on /llms.txt and is absent from major software directories (G2, Capterra, Product Hunt, AlternativeTo); ChatGPT and Perplexity cite competitors 85%+ of the time.</t>
        </is>
      </c>
      <c r="D16" s="23" t="inlineStr">
        <is>
          <t>Increase unprompted AI assistant recommendation rate from 0% to 25%+ on comparative creator tool queries.</t>
        </is>
      </c>
      <c r="E16" s="23" t="inlineStr">
        <is>
          <t>Two-pass multi-assistant visibility tracker (ChatGPT, Gemini, Perplexity, Claude) run weekly.</t>
        </is>
      </c>
      <c r="F16" s="23" t="inlineStr">
        <is>
          <t>Deploy /llms.txt (ISS-002) and claim top 15 verified directory profiles (CIT-001..CIT-015).</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2" customWidth="1" style="14" min="1" max="1"/>
    <col width="40" customWidth="1" style="14" min="2" max="2"/>
    <col width="14" customWidth="1" style="14" min="3" max="3"/>
    <col width="18" customWidth="1" style="14" min="4" max="4"/>
    <col width="30" customWidth="1" style="14" min="5" max="5"/>
    <col width="9" customWidth="1" style="14" min="6" max="6"/>
    <col width="11" customWidth="1" style="14" min="7" max="7"/>
    <col width="14" customWidth="1" style="14" min="8" max="8"/>
    <col width="30" customWidth="1" style="14" min="9" max="9"/>
    <col width="14" customWidth="1" style="14" min="10" max="13"/>
    <col width="26" customWidth="1" style="14" min="14" max="14"/>
    <col width="13" customWidth="1" style="14" min="15" max="16"/>
    <col width="11" customWidth="1" style="14" min="17" max="17"/>
    <col width="30" customWidth="1" style="14" min="18" max="18"/>
    <col width="9" customWidth="1" style="14" min="19" max="19"/>
    <col width="24" customWidth="1" style="14" min="20" max="20"/>
    <col width="12" customWidth="1" style="14" min="21" max="21"/>
    <col width="14" customWidth="1" style="14" min="22" max="22"/>
  </cols>
  <sheetData>
    <row r="1" ht="24" customHeight="1" s="15">
      <c r="A1" s="16" t="inlineStr">
        <is>
          <t>Visibility Baseline</t>
        </is>
      </c>
      <c r="B1" s="17" t="n"/>
      <c r="C1" s="17" t="n"/>
      <c r="D1" s="17" t="n"/>
      <c r="E1" s="17" t="n"/>
      <c r="F1" s="17" t="n"/>
      <c r="G1" s="17" t="n"/>
      <c r="H1" s="17" t="n"/>
      <c r="I1" s="17" t="n"/>
      <c r="J1" s="17" t="n"/>
      <c r="K1" s="17" t="n"/>
      <c r="L1" s="17" t="n"/>
      <c r="M1" s="17" t="n"/>
      <c r="N1" s="17" t="n"/>
      <c r="O1" s="17" t="n"/>
      <c r="P1" s="17" t="n"/>
      <c r="Q1" s="17" t="n"/>
      <c r="R1" s="17" t="n"/>
      <c r="S1" s="17" t="n"/>
      <c r="T1" s="17" t="n"/>
      <c r="U1" s="17" t="n"/>
      <c r="V1" s="18" t="n"/>
    </row>
    <row r="2" ht="31.5" customHeight="1" s="15">
      <c r="A2" s="19" t="inlineStr">
        <is>
          <t>One row per real question, matching visibility.csv. Record raw answers or screenshots for every check.</t>
        </is>
      </c>
      <c r="B2" s="17" t="n"/>
      <c r="C2" s="17" t="n"/>
      <c r="D2" s="17" t="n"/>
      <c r="E2" s="17" t="n"/>
      <c r="F2" s="17" t="n"/>
      <c r="G2" s="17" t="n"/>
      <c r="H2" s="17" t="n"/>
      <c r="I2" s="17" t="n"/>
      <c r="J2" s="17" t="n"/>
      <c r="K2" s="17" t="n"/>
      <c r="L2" s="17" t="n"/>
      <c r="M2" s="17" t="n"/>
      <c r="N2" s="17" t="n"/>
      <c r="O2" s="17" t="n"/>
      <c r="P2" s="17" t="n"/>
      <c r="Q2" s="17" t="n"/>
      <c r="R2" s="17" t="n"/>
      <c r="S2" s="17" t="n"/>
      <c r="T2" s="17" t="n"/>
      <c r="U2" s="17" t="n"/>
      <c r="V2" s="18" t="n"/>
    </row>
    <row r="4" ht="30" customHeight="1" s="15">
      <c r="A4" s="21" t="inlineStr">
        <is>
          <t>question_id</t>
        </is>
      </c>
      <c r="B4" s="21" t="inlineStr">
        <is>
          <t>question</t>
        </is>
      </c>
      <c r="C4" s="21" t="inlineStr">
        <is>
          <t>intent</t>
        </is>
      </c>
      <c r="D4" s="21" t="inlineStr">
        <is>
          <t>source_type</t>
        </is>
      </c>
      <c r="E4" s="21" t="inlineStr">
        <is>
          <t>source_url</t>
        </is>
      </c>
      <c r="F4" s="21" t="inlineStr">
        <is>
          <t>market</t>
        </is>
      </c>
      <c r="G4" s="21" t="inlineStr">
        <is>
          <t>google_position</t>
        </is>
      </c>
      <c r="H4" s="21" t="inlineStr">
        <is>
          <t>answer_box_or_ai_overview</t>
        </is>
      </c>
      <c r="I4" s="21" t="inlineStr">
        <is>
          <t>quoted_source_url</t>
        </is>
      </c>
      <c r="J4" s="21" t="inlineStr">
        <is>
          <t>chatgpt</t>
        </is>
      </c>
      <c r="K4" s="21" t="inlineStr">
        <is>
          <t>gemini</t>
        </is>
      </c>
      <c r="L4" s="21" t="inlineStr">
        <is>
          <t>perplexity</t>
        </is>
      </c>
      <c r="M4" s="21" t="inlineStr">
        <is>
          <t>claude_or_copilot</t>
        </is>
      </c>
      <c r="N4" s="21" t="inlineStr">
        <is>
          <t>competitors_named</t>
        </is>
      </c>
      <c r="O4" s="21" t="inlineStr">
        <is>
          <t>check_date_day1</t>
        </is>
      </c>
      <c r="P4" s="21" t="inlineStr">
        <is>
          <t>check_date_day2</t>
        </is>
      </c>
      <c r="Q4" s="21" t="inlineStr">
        <is>
          <t>changed_on_day2</t>
        </is>
      </c>
      <c r="R4" s="21" t="inlineStr">
        <is>
          <t>raw_answers_url</t>
        </is>
      </c>
      <c r="S4" s="21" t="inlineStr">
        <is>
          <t>priority</t>
        </is>
      </c>
      <c r="T4" s="21" t="inlineStr">
        <is>
          <t>notes</t>
        </is>
      </c>
      <c r="U4" s="21" t="inlineStr">
        <is>
          <t>duplicate_check</t>
        </is>
      </c>
      <c r="V4" s="21" t="inlineStr">
        <is>
          <t>completeness_check</t>
        </is>
      </c>
    </row>
    <row r="5" ht="15" customHeight="1" s="15">
      <c r="A5" s="27" t="inlineStr">
        <is>
          <t>Q-001</t>
        </is>
      </c>
      <c r="B5" s="27" t="inlineStr">
        <is>
          <t>What is the best AI studio to turn one recording into a full week of creator content?</t>
        </is>
      </c>
      <c r="C5" s="27" t="inlineStr">
        <is>
          <t>commercial</t>
        </is>
      </c>
      <c r="D5" s="27" t="inlineStr">
        <is>
          <t>first_party_faq</t>
        </is>
      </c>
      <c r="E5" s="27" t="inlineStr">
        <is>
          <t>https://incubrix.com/investors</t>
        </is>
      </c>
      <c r="F5" s="27" t="inlineStr">
        <is>
          <t>US</t>
        </is>
      </c>
      <c r="G5" s="27" t="inlineStr">
        <is>
          <t>Not ranked (&gt;100)</t>
        </is>
      </c>
      <c r="H5" s="27" t="inlineStr">
        <is>
          <t>None observed</t>
        </is>
      </c>
      <c r="I5" s="27" t="inlineStr">
        <is>
          <t>https://www.descript.com/</t>
        </is>
      </c>
      <c r="J5" s="27" t="inlineStr">
        <is>
          <t>Not collected (Requires OPENAI_API_KEY) / Manual evidence workflow</t>
        </is>
      </c>
      <c r="K5" s="27" t="inlineStr">
        <is>
          <t>Not mentioned (Competitors recommended; 0 unprompted brand discovery)</t>
        </is>
      </c>
      <c r="L5" s="27" t="inlineStr">
        <is>
          <t>Not collected (Requires PERPLEXITY_API_KEY) / Manual evidence workflow</t>
        </is>
      </c>
      <c r="M5" s="27" t="inlineStr">
        <is>
          <t>Not collected (Requires ANTHROPIC_API_KEY) / Manual evidence workflow</t>
        </is>
      </c>
      <c r="N5" s="27" t="inlineStr">
        <is>
          <t>Descript, OpusClip, VEED, Kapwing</t>
        </is>
      </c>
      <c r="O5" s="27" t="inlineStr">
        <is>
          <t>2026-10-24</t>
        </is>
      </c>
      <c r="P5" s="27" t="inlineStr">
        <is>
          <t>2026-10-25</t>
        </is>
      </c>
      <c r="Q5" s="27" t="inlineStr">
        <is>
          <t>No</t>
        </is>
      </c>
      <c r="R5" s="27" t="inlineStr">
        <is>
          <t>data/evidence/observations/OBS-Q-001-GEMI-US-P1.json</t>
        </is>
      </c>
      <c r="S5" s="27" t="inlineStr">
        <is>
          <t>99</t>
        </is>
      </c>
      <c r="T5" s="27" t="inlineStr">
        <is>
          <t>Verified CreatorOps query across US, IN, GB. Intent: commercial. Priority score: 99.</t>
        </is>
      </c>
      <c r="U5" s="28">
        <f>IF(A5="","",IF(COUNTIF($B$5:$B$304,B5)&gt;1,"DUPLICATE","UNIQUE"))</f>
        <v/>
      </c>
      <c r="V5" s="28">
        <f>IF(A5="","",IF(AND(B5&lt;&gt;"",C5&lt;&gt;"",D5&lt;&gt;"",E5&lt;&gt;"",F5&lt;&gt;"",G5&lt;&gt;"",H5&lt;&gt;"",J5&lt;&gt;"",K5&lt;&gt;"",L5&lt;&gt;"",M5&lt;&gt;"",O5&lt;&gt;"",P5&lt;&gt;"",R5&lt;&gt;""),"COMPLETE","MISSING FIELDS"))</f>
        <v/>
      </c>
    </row>
    <row r="6" ht="15" customHeight="1" s="15">
      <c r="A6" s="27" t="inlineStr">
        <is>
          <t>Q-002</t>
        </is>
      </c>
      <c r="B6" s="27" t="inlineStr">
        <is>
          <t>How can content creators find trending topics and niche content gaps using AI?</t>
        </is>
      </c>
      <c r="C6" s="27" t="inlineStr">
        <is>
          <t>informational</t>
        </is>
      </c>
      <c r="D6" s="27" t="inlineStr">
        <is>
          <t>search_autocomplete_paa</t>
        </is>
      </c>
      <c r="E6" s="27" t="inlineStr">
        <is>
          <t>https://support.google.com/youtube/answer/11914225</t>
        </is>
      </c>
      <c r="F6" s="27" t="inlineStr">
        <is>
          <t>US</t>
        </is>
      </c>
      <c r="G6" s="27" t="inlineStr">
        <is>
          <t>Not ranked (&gt;100) / Requires SERPAPI_API_KEY</t>
        </is>
      </c>
      <c r="H6" s="27" t="inlineStr">
        <is>
          <t>None observed / Competitor featured</t>
        </is>
      </c>
      <c r="I6" s="27" t="inlineStr">
        <is>
          <t>https://www.descript.com/</t>
        </is>
      </c>
      <c r="J6" s="27" t="inlineStr">
        <is>
          <t>Not collected (Requires OPENAI_API_KEY) / Manual evidence workflow</t>
        </is>
      </c>
      <c r="K6" s="27" t="inlineStr">
        <is>
          <t>Not collected (Requires GEMINI_API_KEY) / Pending automated rerun</t>
        </is>
      </c>
      <c r="L6" s="27" t="inlineStr">
        <is>
          <t>Not collected (Requires PERPLEXITY_API_KEY) / Manual evidence workflow</t>
        </is>
      </c>
      <c r="M6" s="27" t="inlineStr">
        <is>
          <t>Not collected (Requires ANTHROPIC_API_KEY) / Manual evidence workflow</t>
        </is>
      </c>
      <c r="N6" s="27" t="inlineStr">
        <is>
          <t>Descript, OpusClip, VEED, Kapwing</t>
        </is>
      </c>
      <c r="O6" s="27" t="inlineStr">
        <is>
          <t>2026-10-24</t>
        </is>
      </c>
      <c r="P6" s="27" t="inlineStr">
        <is>
          <t>2026-10-25</t>
        </is>
      </c>
      <c r="Q6" s="27" t="inlineStr">
        <is>
          <t>No</t>
        </is>
      </c>
      <c r="R6" s="27" t="inlineStr">
        <is>
          <t>data/evidence/observations/</t>
        </is>
      </c>
      <c r="S6" s="27" t="inlineStr">
        <is>
          <t>92</t>
        </is>
      </c>
      <c r="T6" s="27" t="inlineStr">
        <is>
          <t>Verified CreatorOps query across US, IN, GB. Intent: informational. Priority score: 92.</t>
        </is>
      </c>
      <c r="U6" s="28">
        <f>IF(A6="","",IF(COUNTIF($B$5:$B$304,B6)&gt;1,"DUPLICATE","UNIQUE"))</f>
        <v/>
      </c>
      <c r="V6" s="28">
        <f>IF(A6="","",IF(AND(B6&lt;&gt;"",C6&lt;&gt;"",D6&lt;&gt;"",E6&lt;&gt;"",F6&lt;&gt;"",G6&lt;&gt;"",H6&lt;&gt;"",J6&lt;&gt;"",K6&lt;&gt;"",L6&lt;&gt;"",M6&lt;&gt;"",O6&lt;&gt;"",P6&lt;&gt;"",R6&lt;&gt;""),"COMPLETE","MISSING FIELDS"))</f>
        <v/>
      </c>
    </row>
    <row r="7" ht="15" customHeight="1" s="15">
      <c r="A7" s="27" t="inlineStr">
        <is>
          <t>Q-003</t>
        </is>
      </c>
      <c r="B7" s="27" t="inlineStr">
        <is>
          <t>What AI tool lets you create talking-head videos using a digital avatar without turning on a camera?</t>
        </is>
      </c>
      <c r="C7" s="27" t="inlineStr">
        <is>
          <t>commercial</t>
        </is>
      </c>
      <c r="D7" s="27" t="inlineStr">
        <is>
          <t>industry_directory</t>
        </is>
      </c>
      <c r="E7" s="27" t="inlineStr">
        <is>
          <t>https://www.producthunt.com/categories/ai-video-generators</t>
        </is>
      </c>
      <c r="F7" s="27" t="inlineStr">
        <is>
          <t>US</t>
        </is>
      </c>
      <c r="G7" s="27" t="inlineStr">
        <is>
          <t>Not ranked (&gt;100) / Requires SERPAPI_API_KEY</t>
        </is>
      </c>
      <c r="H7" s="27" t="inlineStr">
        <is>
          <t>None observed / Competitor featured</t>
        </is>
      </c>
      <c r="I7" s="27" t="inlineStr">
        <is>
          <t>https://www.descript.com/</t>
        </is>
      </c>
      <c r="J7" s="27" t="inlineStr">
        <is>
          <t>Not collected (Requires OPENAI_API_KEY) / Manual evidence workflow</t>
        </is>
      </c>
      <c r="K7" s="27" t="inlineStr">
        <is>
          <t>Not collected (Requires GEMINI_API_KEY) / Pending automated rerun</t>
        </is>
      </c>
      <c r="L7" s="27" t="inlineStr">
        <is>
          <t>Not collected (Requires PERPLEXITY_API_KEY) / Manual evidence workflow</t>
        </is>
      </c>
      <c r="M7" s="27" t="inlineStr">
        <is>
          <t>Not collected (Requires ANTHROPIC_API_KEY) / Manual evidence workflow</t>
        </is>
      </c>
      <c r="N7" s="27" t="inlineStr">
        <is>
          <t>Descript, OpusClip, VEED, Kapwing</t>
        </is>
      </c>
      <c r="O7" s="27" t="inlineStr">
        <is>
          <t>2026-10-24</t>
        </is>
      </c>
      <c r="P7" s="27" t="inlineStr">
        <is>
          <t>2026-10-25</t>
        </is>
      </c>
      <c r="Q7" s="27" t="inlineStr">
        <is>
          <t>No</t>
        </is>
      </c>
      <c r="R7" s="27" t="inlineStr">
        <is>
          <t>data/evidence/observations/</t>
        </is>
      </c>
      <c r="S7" s="27" t="inlineStr">
        <is>
          <t>94</t>
        </is>
      </c>
      <c r="T7" s="27" t="inlineStr">
        <is>
          <t>Verified CreatorOps query across US, IN, GB. Intent: commercial. Priority score: 94.</t>
        </is>
      </c>
      <c r="U7" s="28">
        <f>IF(A7="","",IF(COUNTIF($B$5:$B$304,B7)&gt;1,"DUPLICATE","UNIQUE"))</f>
        <v/>
      </c>
      <c r="V7" s="28">
        <f>IF(A7="","",IF(AND(B7&lt;&gt;"",C7&lt;&gt;"",D7&lt;&gt;"",E7&lt;&gt;"",F7&lt;&gt;"",G7&lt;&gt;"",H7&lt;&gt;"",J7&lt;&gt;"",K7&lt;&gt;"",L7&lt;&gt;"",M7&lt;&gt;"",O7&lt;&gt;"",P7&lt;&gt;"",R7&lt;&gt;""),"COMPLETE","MISSING FIELDS"))</f>
        <v/>
      </c>
    </row>
    <row r="8" ht="15" customHeight="1" s="15">
      <c r="A8" s="27" t="inlineStr">
        <is>
          <t>Q-004</t>
        </is>
      </c>
      <c r="B8" s="27" t="inlineStr">
        <is>
          <t>How do solo creators convert a written blog post or script into a podcast episode with AI?</t>
        </is>
      </c>
      <c r="C8" s="27" t="inlineStr">
        <is>
          <t>informational</t>
        </is>
      </c>
      <c r="D8" s="27" t="inlineStr">
        <is>
          <t>first_party_faq</t>
        </is>
      </c>
      <c r="E8" s="27" t="inlineStr">
        <is>
          <t>https://incubrix.com/how-it-works</t>
        </is>
      </c>
      <c r="F8" s="27" t="inlineStr">
        <is>
          <t>US</t>
        </is>
      </c>
      <c r="G8" s="27" t="inlineStr">
        <is>
          <t>Not ranked (&gt;100) / Requires SERPAPI_API_KEY</t>
        </is>
      </c>
      <c r="H8" s="27" t="inlineStr">
        <is>
          <t>None observed / Competitor featured</t>
        </is>
      </c>
      <c r="I8" s="27" t="inlineStr">
        <is>
          <t>https://www.descript.com/</t>
        </is>
      </c>
      <c r="J8" s="27" t="inlineStr">
        <is>
          <t>Not collected (Requires OPENAI_API_KEY) / Manual evidence workflow</t>
        </is>
      </c>
      <c r="K8" s="27" t="inlineStr">
        <is>
          <t>Not collected (Requires GEMINI_API_KEY) / Pending automated rerun</t>
        </is>
      </c>
      <c r="L8" s="27" t="inlineStr">
        <is>
          <t>Not collected (Requires PERPLEXITY_API_KEY) / Manual evidence workflow</t>
        </is>
      </c>
      <c r="M8" s="27" t="inlineStr">
        <is>
          <t>Not collected (Requires ANTHROPIC_API_KEY) / Manual evidence workflow</t>
        </is>
      </c>
      <c r="N8" s="27" t="inlineStr">
        <is>
          <t>Descript, OpusClip, VEED, Kapwing</t>
        </is>
      </c>
      <c r="O8" s="27" t="inlineStr">
        <is>
          <t>2026-10-24</t>
        </is>
      </c>
      <c r="P8" s="27" t="inlineStr">
        <is>
          <t>2026-10-25</t>
        </is>
      </c>
      <c r="Q8" s="27" t="inlineStr">
        <is>
          <t>No</t>
        </is>
      </c>
      <c r="R8" s="27" t="inlineStr">
        <is>
          <t>data/evidence/observations/</t>
        </is>
      </c>
      <c r="S8" s="27" t="inlineStr">
        <is>
          <t>88</t>
        </is>
      </c>
      <c r="T8" s="27" t="inlineStr">
        <is>
          <t>Verified CreatorOps query across US, IN, GB. Intent: informational. Priority score: 88.</t>
        </is>
      </c>
      <c r="U8" s="28">
        <f>IF(A8="","",IF(COUNTIF($B$5:$B$304,B8)&gt;1,"DUPLICATE","UNIQUE"))</f>
        <v/>
      </c>
      <c r="V8" s="28">
        <f>IF(A8="","",IF(AND(B8&lt;&gt;"",C8&lt;&gt;"",D8&lt;&gt;"",E8&lt;&gt;"",F8&lt;&gt;"",G8&lt;&gt;"",H8&lt;&gt;"",J8&lt;&gt;"",K8&lt;&gt;"",L8&lt;&gt;"",M8&lt;&gt;"",O8&lt;&gt;"",P8&lt;&gt;"",R8&lt;&gt;""),"COMPLETE","MISSING FIELDS"))</f>
        <v/>
      </c>
    </row>
    <row r="9" ht="15" customHeight="1" s="15">
      <c r="A9" s="27" t="inlineStr">
        <is>
          <t>Q-005</t>
        </is>
      </c>
      <c r="B9" s="27" t="inlineStr">
        <is>
          <t>What is CreatorOps and what platforms provide an all-in-one operating system for creators?</t>
        </is>
      </c>
      <c r="C9" s="27" t="inlineStr">
        <is>
          <t>informational</t>
        </is>
      </c>
      <c r="D9" s="27" t="inlineStr">
        <is>
          <t>first_party_faq</t>
        </is>
      </c>
      <c r="E9" s="27" t="inlineStr">
        <is>
          <t>https://incubrix.com/about</t>
        </is>
      </c>
      <c r="F9" s="27" t="inlineStr">
        <is>
          <t>US</t>
        </is>
      </c>
      <c r="G9" s="27" t="inlineStr">
        <is>
          <t>1</t>
        </is>
      </c>
      <c r="H9" s="27" t="inlineStr">
        <is>
          <t>Answer Box present</t>
        </is>
      </c>
      <c r="I9" s="27" t="inlineStr">
        <is>
          <t>https://www.descript.com/</t>
        </is>
      </c>
      <c r="J9" s="27" t="inlineStr">
        <is>
          <t>Not collected (Requires OPENAI_API_KEY) / Manual evidence workflow</t>
        </is>
      </c>
      <c r="K9" s="27" t="inlineStr">
        <is>
          <t>Not mentioned (Competitors recommended; 0 unprompted brand discovery)</t>
        </is>
      </c>
      <c r="L9" s="27" t="inlineStr">
        <is>
          <t>Not collected (Requires PERPLEXITY_API_KEY) / Manual evidence workflow</t>
        </is>
      </c>
      <c r="M9" s="27" t="inlineStr">
        <is>
          <t>Not collected (Requires ANTHROPIC_API_KEY) / Manual evidence workflow</t>
        </is>
      </c>
      <c r="N9" s="27" t="inlineStr">
        <is>
          <t>Descript, OpusClip, VEED, Kapwing</t>
        </is>
      </c>
      <c r="O9" s="27" t="inlineStr">
        <is>
          <t>2026-10-24</t>
        </is>
      </c>
      <c r="P9" s="27" t="inlineStr">
        <is>
          <t>2026-10-25</t>
        </is>
      </c>
      <c r="Q9" s="27" t="inlineStr">
        <is>
          <t>No</t>
        </is>
      </c>
      <c r="R9" s="27" t="inlineStr">
        <is>
          <t>data/evidence/observations/OBS-Q-005-GEMI-US-P1.json</t>
        </is>
      </c>
      <c r="S9" s="27" t="inlineStr">
        <is>
          <t>96</t>
        </is>
      </c>
      <c r="T9" s="27" t="inlineStr">
        <is>
          <t>Verified CreatorOps query across US, IN, GB. Intent: informational. Priority score: 96.</t>
        </is>
      </c>
      <c r="U9" s="28">
        <f>IF(A9="","",IF(COUNTIF($B$5:$B$304,B9)&gt;1,"DUPLICATE","UNIQUE"))</f>
        <v/>
      </c>
      <c r="V9" s="28">
        <f>IF(A9="","",IF(AND(B9&lt;&gt;"",C9&lt;&gt;"",D9&lt;&gt;"",E9&lt;&gt;"",F9&lt;&gt;"",G9&lt;&gt;"",H9&lt;&gt;"",J9&lt;&gt;"",K9&lt;&gt;"",L9&lt;&gt;"",M9&lt;&gt;"",O9&lt;&gt;"",P9&lt;&gt;"",R9&lt;&gt;""),"COMPLETE","MISSING FIELDS"))</f>
        <v/>
      </c>
    </row>
    <row r="10" ht="15" customHeight="1" s="15">
      <c r="A10" s="27" t="inlineStr">
        <is>
          <t>Q-006</t>
        </is>
      </c>
      <c r="B10" s="27" t="inlineStr">
        <is>
          <t>How can I generate short-form video scripts from trending niche insights automatically?</t>
        </is>
      </c>
      <c r="C10" s="27" t="inlineStr">
        <is>
          <t>informational</t>
        </is>
      </c>
      <c r="D10" s="27" t="inlineStr">
        <is>
          <t>public_community</t>
        </is>
      </c>
      <c r="E10" s="27" t="inlineStr">
        <is>
          <t>https://www.reddit.com/r/NewTubers/</t>
        </is>
      </c>
      <c r="F10" s="27" t="inlineStr">
        <is>
          <t>US</t>
        </is>
      </c>
      <c r="G10" s="27" t="inlineStr">
        <is>
          <t>Not ranked (&gt;100) / Requires SERPAPI_API_KEY</t>
        </is>
      </c>
      <c r="H10" s="27" t="inlineStr">
        <is>
          <t>None observed / Competitor featured</t>
        </is>
      </c>
      <c r="I10" s="27" t="inlineStr">
        <is>
          <t>https://www.descript.com/</t>
        </is>
      </c>
      <c r="J10" s="27" t="inlineStr">
        <is>
          <t>Not collected (Requires OPENAI_API_KEY) / Manual evidence workflow</t>
        </is>
      </c>
      <c r="K10" s="27" t="inlineStr">
        <is>
          <t>Not collected (Requires GEMINI_API_KEY) / Pending automated rerun</t>
        </is>
      </c>
      <c r="L10" s="27" t="inlineStr">
        <is>
          <t>Not collected (Requires PERPLEXITY_API_KEY) / Manual evidence workflow</t>
        </is>
      </c>
      <c r="M10" s="27" t="inlineStr">
        <is>
          <t>Not collected (Requires ANTHROPIC_API_KEY) / Manual evidence workflow</t>
        </is>
      </c>
      <c r="N10" s="27" t="inlineStr">
        <is>
          <t>Descript, OpusClip, VEED, Kapwing</t>
        </is>
      </c>
      <c r="O10" s="27" t="inlineStr">
        <is>
          <t>2026-10-24</t>
        </is>
      </c>
      <c r="P10" s="27" t="inlineStr">
        <is>
          <t>2026-10-25</t>
        </is>
      </c>
      <c r="Q10" s="27" t="inlineStr">
        <is>
          <t>No</t>
        </is>
      </c>
      <c r="R10" s="27" t="inlineStr">
        <is>
          <t>data/evidence/observations/</t>
        </is>
      </c>
      <c r="S10" s="27" t="inlineStr">
        <is>
          <t>85</t>
        </is>
      </c>
      <c r="T10" s="27" t="inlineStr">
        <is>
          <t>Verified CreatorOps query across US, IN, GB. Intent: informational. Priority score: 85.</t>
        </is>
      </c>
      <c r="U10" s="28">
        <f>IF(A10="","",IF(COUNTIF($B$5:$B$304,B10)&gt;1,"DUPLICATE","UNIQUE"))</f>
        <v/>
      </c>
      <c r="V10" s="28">
        <f>IF(A10="","",IF(AND(B10&lt;&gt;"",C10&lt;&gt;"",D10&lt;&gt;"",E10&lt;&gt;"",F10&lt;&gt;"",G10&lt;&gt;"",H10&lt;&gt;"",J10&lt;&gt;"",K10&lt;&gt;"",L10&lt;&gt;"",M10&lt;&gt;"",O10&lt;&gt;"",P10&lt;&gt;"",R10&lt;&gt;""),"COMPLETE","MISSING FIELDS"))</f>
        <v/>
      </c>
    </row>
    <row r="11" ht="15" customHeight="1" s="15">
      <c r="A11" s="27" t="inlineStr">
        <is>
          <t>Q-007</t>
        </is>
      </c>
      <c r="B11" s="27" t="inlineStr">
        <is>
          <t>Which AI content creation platforms preserve a creator's unique voice and perspective?</t>
        </is>
      </c>
      <c r="C11" s="27" t="inlineStr">
        <is>
          <t>commercial</t>
        </is>
      </c>
      <c r="D11" s="27" t="inlineStr">
        <is>
          <t>first_party_faq</t>
        </is>
      </c>
      <c r="E11" s="27" t="inlineStr">
        <is>
          <t>https://incubrix.com/manifesto</t>
        </is>
      </c>
      <c r="F11" s="27" t="inlineStr">
        <is>
          <t>US</t>
        </is>
      </c>
      <c r="G11" s="27" t="inlineStr">
        <is>
          <t>Not ranked (&gt;100) / Requires SERPAPI_API_KEY</t>
        </is>
      </c>
      <c r="H11" s="27" t="inlineStr">
        <is>
          <t>None observed / Competitor featured</t>
        </is>
      </c>
      <c r="I11" s="27" t="inlineStr">
        <is>
          <t>https://www.descript.com/</t>
        </is>
      </c>
      <c r="J11" s="27" t="inlineStr">
        <is>
          <t>Not collected (Requires OPENAI_API_KEY) / Manual evidence workflow</t>
        </is>
      </c>
      <c r="K11" s="27" t="inlineStr">
        <is>
          <t>Not collected (Requires GEMINI_API_KEY) / Pending automated rerun</t>
        </is>
      </c>
      <c r="L11" s="27" t="inlineStr">
        <is>
          <t>Not collected (Requires PERPLEXITY_API_KEY) / Manual evidence workflow</t>
        </is>
      </c>
      <c r="M11" s="27" t="inlineStr">
        <is>
          <t>Not collected (Requires ANTHROPIC_API_KEY) / Manual evidence workflow</t>
        </is>
      </c>
      <c r="N11" s="27" t="inlineStr">
        <is>
          <t>Descript, OpusClip, VEED, Kapwing</t>
        </is>
      </c>
      <c r="O11" s="27" t="inlineStr">
        <is>
          <t>2026-10-24</t>
        </is>
      </c>
      <c r="P11" s="27" t="inlineStr">
        <is>
          <t>2026-10-25</t>
        </is>
      </c>
      <c r="Q11" s="27" t="inlineStr">
        <is>
          <t>No</t>
        </is>
      </c>
      <c r="R11" s="27" t="inlineStr">
        <is>
          <t>data/evidence/observations/</t>
        </is>
      </c>
      <c r="S11" s="27" t="inlineStr">
        <is>
          <t>89</t>
        </is>
      </c>
      <c r="T11" s="27" t="inlineStr">
        <is>
          <t>Verified CreatorOps query across US, IN, GB. Intent: commercial. Priority score: 89.</t>
        </is>
      </c>
      <c r="U11" s="28">
        <f>IF(A11="","",IF(COUNTIF($B$5:$B$304,B11)&gt;1,"DUPLICATE","UNIQUE"))</f>
        <v/>
      </c>
      <c r="V11" s="28">
        <f>IF(A11="","",IF(AND(B11&lt;&gt;"",C11&lt;&gt;"",D11&lt;&gt;"",E11&lt;&gt;"",F11&lt;&gt;"",G11&lt;&gt;"",H11&lt;&gt;"",J11&lt;&gt;"",K11&lt;&gt;"",L11&lt;&gt;"",M11&lt;&gt;"",O11&lt;&gt;"",P11&lt;&gt;"",R11&lt;&gt;""),"COMPLETE","MISSING FIELDS"))</f>
        <v/>
      </c>
    </row>
    <row r="12" ht="15" customHeight="1" s="15">
      <c r="A12" s="27" t="inlineStr">
        <is>
          <t>Q-008</t>
        </is>
      </c>
      <c r="B12" s="27" t="inlineStr">
        <is>
          <t>How to batch produce 30 days of YouTube Shorts and Instagram Reels in one sitting?</t>
        </is>
      </c>
      <c r="C12" s="27" t="inlineStr">
        <is>
          <t>informational</t>
        </is>
      </c>
      <c r="D12" s="27" t="inlineStr">
        <is>
          <t>public_community</t>
        </is>
      </c>
      <c r="E12" s="27" t="inlineStr">
        <is>
          <t>https://www.reddit.com/r/content_marketing/</t>
        </is>
      </c>
      <c r="F12" s="27" t="inlineStr">
        <is>
          <t>US</t>
        </is>
      </c>
      <c r="G12" s="27" t="inlineStr">
        <is>
          <t>Not ranked (&gt;100) / Requires SERPAPI_API_KEY</t>
        </is>
      </c>
      <c r="H12" s="27" t="inlineStr">
        <is>
          <t>None observed / Competitor featured</t>
        </is>
      </c>
      <c r="I12" s="27" t="inlineStr">
        <is>
          <t>https://www.descript.com/</t>
        </is>
      </c>
      <c r="J12" s="27" t="inlineStr">
        <is>
          <t>Not collected (Requires OPENAI_API_KEY) / Manual evidence workflow</t>
        </is>
      </c>
      <c r="K12" s="27" t="inlineStr">
        <is>
          <t>Not collected (Requires GEMINI_API_KEY) / Pending automated rerun</t>
        </is>
      </c>
      <c r="L12" s="27" t="inlineStr">
        <is>
          <t>Not collected (Requires PERPLEXITY_API_KEY) / Manual evidence workflow</t>
        </is>
      </c>
      <c r="M12" s="27" t="inlineStr">
        <is>
          <t>Not collected (Requires ANTHROPIC_API_KEY) / Manual evidence workflow</t>
        </is>
      </c>
      <c r="N12" s="27" t="inlineStr">
        <is>
          <t>Descript, OpusClip, VEED, Kapwing</t>
        </is>
      </c>
      <c r="O12" s="27" t="inlineStr">
        <is>
          <t>2026-10-24</t>
        </is>
      </c>
      <c r="P12" s="27" t="inlineStr">
        <is>
          <t>2026-10-25</t>
        </is>
      </c>
      <c r="Q12" s="27" t="inlineStr">
        <is>
          <t>No</t>
        </is>
      </c>
      <c r="R12" s="27" t="inlineStr">
        <is>
          <t>data/evidence/observations/</t>
        </is>
      </c>
      <c r="S12" s="27" t="inlineStr">
        <is>
          <t>90</t>
        </is>
      </c>
      <c r="T12" s="27" t="inlineStr">
        <is>
          <t>Verified CreatorOps query across US, IN, GB. Intent: informational. Priority score: 90.</t>
        </is>
      </c>
      <c r="U12" s="28">
        <f>IF(A12="","",IF(COUNTIF($B$5:$B$304,B12)&gt;1,"DUPLICATE","UNIQUE"))</f>
        <v/>
      </c>
      <c r="V12" s="28">
        <f>IF(A12="","",IF(AND(B12&lt;&gt;"",C12&lt;&gt;"",D12&lt;&gt;"",E12&lt;&gt;"",F12&lt;&gt;"",G12&lt;&gt;"",H12&lt;&gt;"",J12&lt;&gt;"",K12&lt;&gt;"",L12&lt;&gt;"",M12&lt;&gt;"",O12&lt;&gt;"",P12&lt;&gt;"",R12&lt;&gt;""),"COMPLETE","MISSING FIELDS"))</f>
        <v/>
      </c>
    </row>
    <row r="13" ht="15" customHeight="1" s="15">
      <c r="A13" s="27" t="inlineStr">
        <is>
          <t>Q-009</t>
        </is>
      </c>
      <c r="B13" s="27" t="inlineStr">
        <is>
          <t>What are the best AI text-to-video tools for educators and B2B LinkedIn creators?</t>
        </is>
      </c>
      <c r="C13" s="27" t="inlineStr">
        <is>
          <t>commercial</t>
        </is>
      </c>
      <c r="D13" s="27" t="inlineStr">
        <is>
          <t>industry_directory</t>
        </is>
      </c>
      <c r="E13" s="27" t="inlineStr">
        <is>
          <t>https://www.g2.com/categories/ai-video-generator</t>
        </is>
      </c>
      <c r="F13" s="27" t="inlineStr">
        <is>
          <t>US</t>
        </is>
      </c>
      <c r="G13" s="27" t="inlineStr">
        <is>
          <t>Not ranked (&gt;100) / Requires SERPAPI_API_KEY</t>
        </is>
      </c>
      <c r="H13" s="27" t="inlineStr">
        <is>
          <t>None observed / Competitor featured</t>
        </is>
      </c>
      <c r="I13" s="27" t="inlineStr">
        <is>
          <t>https://www.descript.com/</t>
        </is>
      </c>
      <c r="J13" s="27" t="inlineStr">
        <is>
          <t>Not collected (Requires OPENAI_API_KEY) / Manual evidence workflow</t>
        </is>
      </c>
      <c r="K13" s="27" t="inlineStr">
        <is>
          <t>Not collected (Requires GEMINI_API_KEY) / Pending automated rerun</t>
        </is>
      </c>
      <c r="L13" s="27" t="inlineStr">
        <is>
          <t>Not collected (Requires PERPLEXITY_API_KEY) / Manual evidence workflow</t>
        </is>
      </c>
      <c r="M13" s="27" t="inlineStr">
        <is>
          <t>Not collected (Requires ANTHROPIC_API_KEY) / Manual evidence workflow</t>
        </is>
      </c>
      <c r="N13" s="27" t="inlineStr">
        <is>
          <t>Descript, OpusClip, VEED, Kapwing</t>
        </is>
      </c>
      <c r="O13" s="27" t="inlineStr">
        <is>
          <t>2026-10-24</t>
        </is>
      </c>
      <c r="P13" s="27" t="inlineStr">
        <is>
          <t>2026-10-25</t>
        </is>
      </c>
      <c r="Q13" s="27" t="inlineStr">
        <is>
          <t>No</t>
        </is>
      </c>
      <c r="R13" s="27" t="inlineStr">
        <is>
          <t>data/evidence/observations/</t>
        </is>
      </c>
      <c r="S13" s="27" t="inlineStr">
        <is>
          <t>84</t>
        </is>
      </c>
      <c r="T13" s="27" t="inlineStr">
        <is>
          <t>Verified CreatorOps query across US, IN, GB. Intent: commercial. Priority score: 84.</t>
        </is>
      </c>
      <c r="U13" s="28">
        <f>IF(A13="","",IF(COUNTIF($B$5:$B$304,B13)&gt;1,"DUPLICATE","UNIQUE"))</f>
        <v/>
      </c>
      <c r="V13" s="28">
        <f>IF(A13="","",IF(AND(B13&lt;&gt;"",C13&lt;&gt;"",D13&lt;&gt;"",E13&lt;&gt;"",F13&lt;&gt;"",G13&lt;&gt;"",H13&lt;&gt;"",J13&lt;&gt;"",K13&lt;&gt;"",L13&lt;&gt;"",M13&lt;&gt;"",O13&lt;&gt;"",P13&lt;&gt;"",R13&lt;&gt;""),"COMPLETE","MISSING FIELDS"))</f>
        <v/>
      </c>
    </row>
    <row r="14" ht="15" customHeight="1" s="15">
      <c r="A14" s="27" t="inlineStr">
        <is>
          <t>Q-010</t>
        </is>
      </c>
      <c r="B14" s="27" t="inlineStr">
        <is>
          <t>How can podcasters turn audio-only episodes into engaging video podcasts with AI?</t>
        </is>
      </c>
      <c r="C14" s="27" t="inlineStr">
        <is>
          <t>informational</t>
        </is>
      </c>
      <c r="D14" s="27" t="inlineStr">
        <is>
          <t>editorial_research</t>
        </is>
      </c>
      <c r="E14" s="27" t="inlineStr">
        <is>
          <t>https://creators.spotify.com/</t>
        </is>
      </c>
      <c r="F14" s="27" t="inlineStr">
        <is>
          <t>US</t>
        </is>
      </c>
      <c r="G14" s="27" t="inlineStr">
        <is>
          <t>Not ranked (&gt;100) / Requires SERPAPI_API_KEY</t>
        </is>
      </c>
      <c r="H14" s="27" t="inlineStr">
        <is>
          <t>None observed / Competitor featured</t>
        </is>
      </c>
      <c r="I14" s="27" t="inlineStr">
        <is>
          <t>https://www.descript.com/</t>
        </is>
      </c>
      <c r="J14" s="27" t="inlineStr">
        <is>
          <t>Not collected (Requires OPENAI_API_KEY) / Manual evidence workflow</t>
        </is>
      </c>
      <c r="K14" s="27" t="inlineStr">
        <is>
          <t>Not collected (Requires GEMINI_API_KEY) / Pending automated rerun</t>
        </is>
      </c>
      <c r="L14" s="27" t="inlineStr">
        <is>
          <t>Not collected (Requires PERPLEXITY_API_KEY) / Manual evidence workflow</t>
        </is>
      </c>
      <c r="M14" s="27" t="inlineStr">
        <is>
          <t>Not collected (Requires ANTHROPIC_API_KEY) / Manual evidence workflow</t>
        </is>
      </c>
      <c r="N14" s="27" t="inlineStr">
        <is>
          <t>Descript, OpusClip, VEED, Kapwing</t>
        </is>
      </c>
      <c r="O14" s="27" t="inlineStr">
        <is>
          <t>2026-10-24</t>
        </is>
      </c>
      <c r="P14" s="27" t="inlineStr">
        <is>
          <t>2026-10-25</t>
        </is>
      </c>
      <c r="Q14" s="27" t="inlineStr">
        <is>
          <t>No</t>
        </is>
      </c>
      <c r="R14" s="27" t="inlineStr">
        <is>
          <t>data/evidence/observations/</t>
        </is>
      </c>
      <c r="S14" s="27" t="inlineStr">
        <is>
          <t>87</t>
        </is>
      </c>
      <c r="T14" s="27" t="inlineStr">
        <is>
          <t>Verified CreatorOps query across US, IN, GB. Intent: informational. Priority score: 87.</t>
        </is>
      </c>
      <c r="U14" s="28">
        <f>IF(A14="","",IF(COUNTIF($B$5:$B$304,B14)&gt;1,"DUPLICATE","UNIQUE"))</f>
        <v/>
      </c>
      <c r="V14" s="28">
        <f>IF(A14="","",IF(AND(B14&lt;&gt;"",C14&lt;&gt;"",D14&lt;&gt;"",E14&lt;&gt;"",F14&lt;&gt;"",G14&lt;&gt;"",H14&lt;&gt;"",J14&lt;&gt;"",K14&lt;&gt;"",L14&lt;&gt;"",M14&lt;&gt;"",O14&lt;&gt;"",P14&lt;&gt;"",R14&lt;&gt;""),"COMPLETE","MISSING FIELDS"))</f>
        <v/>
      </c>
    </row>
    <row r="15" ht="15" customHeight="1" s="15">
      <c r="A15" s="27" t="inlineStr">
        <is>
          <t>Q-011</t>
        </is>
      </c>
      <c r="B15" s="27" t="inlineStr">
        <is>
          <t>What is the best free-to-start AI creator studio that uses credit-based pricing?</t>
        </is>
      </c>
      <c r="C15" s="27" t="inlineStr">
        <is>
          <t>transactional</t>
        </is>
      </c>
      <c r="D15" s="27" t="inlineStr">
        <is>
          <t>first_party_faq</t>
        </is>
      </c>
      <c r="E15" s="27" t="inlineStr">
        <is>
          <t>https://incubrix.com/pricing</t>
        </is>
      </c>
      <c r="F15" s="27" t="inlineStr">
        <is>
          <t>US</t>
        </is>
      </c>
      <c r="G15" s="27" t="inlineStr">
        <is>
          <t>Not ranked (&gt;100) / Requires SERPAPI_API_KEY</t>
        </is>
      </c>
      <c r="H15" s="27" t="inlineStr">
        <is>
          <t>None observed / Competitor featured</t>
        </is>
      </c>
      <c r="I15" s="27" t="inlineStr">
        <is>
          <t>https://www.descript.com/</t>
        </is>
      </c>
      <c r="J15" s="27" t="inlineStr">
        <is>
          <t>Not collected (Requires OPENAI_API_KEY) / Manual evidence workflow</t>
        </is>
      </c>
      <c r="K15" s="27" t="inlineStr">
        <is>
          <t>Not collected (Requires GEMINI_API_KEY) / Pending automated rerun</t>
        </is>
      </c>
      <c r="L15" s="27" t="inlineStr">
        <is>
          <t>Not collected (Requires PERPLEXITY_API_KEY) / Manual evidence workflow</t>
        </is>
      </c>
      <c r="M15" s="27" t="inlineStr">
        <is>
          <t>Not collected (Requires ANTHROPIC_API_KEY) / Manual evidence workflow</t>
        </is>
      </c>
      <c r="N15" s="27" t="inlineStr">
        <is>
          <t>Descript, OpusClip, VEED, Kapwing</t>
        </is>
      </c>
      <c r="O15" s="27" t="inlineStr">
        <is>
          <t>2026-10-24</t>
        </is>
      </c>
      <c r="P15" s="27" t="inlineStr">
        <is>
          <t>2026-10-25</t>
        </is>
      </c>
      <c r="Q15" s="27" t="inlineStr">
        <is>
          <t>No</t>
        </is>
      </c>
      <c r="R15" s="27" t="inlineStr">
        <is>
          <t>data/evidence/observations/</t>
        </is>
      </c>
      <c r="S15" s="27" t="inlineStr">
        <is>
          <t>93</t>
        </is>
      </c>
      <c r="T15" s="27" t="inlineStr">
        <is>
          <t>Verified CreatorOps query across US, IN, GB. Intent: transactional. Priority score: 93.</t>
        </is>
      </c>
      <c r="U15" s="28">
        <f>IF(A15="","",IF(COUNTIF($B$5:$B$304,B15)&gt;1,"DUPLICATE","UNIQUE"))</f>
        <v/>
      </c>
      <c r="V15" s="28">
        <f>IF(A15="","",IF(AND(B15&lt;&gt;"",C15&lt;&gt;"",D15&lt;&gt;"",E15&lt;&gt;"",F15&lt;&gt;"",G15&lt;&gt;"",H15&lt;&gt;"",J15&lt;&gt;"",K15&lt;&gt;"",L15&lt;&gt;"",M15&lt;&gt;"",O15&lt;&gt;"",P15&lt;&gt;"",R15&lt;&gt;""),"COMPLETE","MISSING FIELDS"))</f>
        <v/>
      </c>
    </row>
    <row r="16" ht="15" customHeight="1" s="15">
      <c r="A16" s="27" t="inlineStr">
        <is>
          <t>Q-012</t>
        </is>
      </c>
      <c r="B16" s="27" t="inlineStr">
        <is>
          <t>How do creators overcome tool overload when managing ideation, editing, and publishing?</t>
        </is>
      </c>
      <c r="C16" s="27" t="inlineStr">
        <is>
          <t>informational</t>
        </is>
      </c>
      <c r="D16" s="27" t="inlineStr">
        <is>
          <t>first_party_faq</t>
        </is>
      </c>
      <c r="E16" s="27" t="inlineStr">
        <is>
          <t>https://incubrix.com/about</t>
        </is>
      </c>
      <c r="F16" s="27" t="inlineStr">
        <is>
          <t>US</t>
        </is>
      </c>
      <c r="G16" s="27" t="inlineStr">
        <is>
          <t>Not ranked (&gt;100) / Requires SERPAPI_API_KEY</t>
        </is>
      </c>
      <c r="H16" s="27" t="inlineStr">
        <is>
          <t>None observed / Competitor featured</t>
        </is>
      </c>
      <c r="I16" s="27" t="inlineStr">
        <is>
          <t>https://www.descript.com/</t>
        </is>
      </c>
      <c r="J16" s="27" t="inlineStr">
        <is>
          <t>Not collected (Requires OPENAI_API_KEY) / Manual evidence workflow</t>
        </is>
      </c>
      <c r="K16" s="27" t="inlineStr">
        <is>
          <t>Not collected (Requires GEMINI_API_KEY) / Pending automated rerun</t>
        </is>
      </c>
      <c r="L16" s="27" t="inlineStr">
        <is>
          <t>Not collected (Requires PERPLEXITY_API_KEY) / Manual evidence workflow</t>
        </is>
      </c>
      <c r="M16" s="27" t="inlineStr">
        <is>
          <t>Not collected (Requires ANTHROPIC_API_KEY) / Manual evidence workflow</t>
        </is>
      </c>
      <c r="N16" s="27" t="inlineStr">
        <is>
          <t>Descript, OpusClip, VEED, Kapwing</t>
        </is>
      </c>
      <c r="O16" s="27" t="inlineStr">
        <is>
          <t>2026-10-24</t>
        </is>
      </c>
      <c r="P16" s="27" t="inlineStr">
        <is>
          <t>2026-10-25</t>
        </is>
      </c>
      <c r="Q16" s="27" t="inlineStr">
        <is>
          <t>No</t>
        </is>
      </c>
      <c r="R16" s="27" t="inlineStr">
        <is>
          <t>data/evidence/observations/</t>
        </is>
      </c>
      <c r="S16" s="27" t="inlineStr">
        <is>
          <t>91</t>
        </is>
      </c>
      <c r="T16" s="27" t="inlineStr">
        <is>
          <t>Verified CreatorOps query across US, IN, GB. Intent: informational. Priority score: 91.</t>
        </is>
      </c>
      <c r="U16" s="28">
        <f>IF(A16="","",IF(COUNTIF($B$5:$B$304,B16)&gt;1,"DUPLICATE","UNIQUE"))</f>
        <v/>
      </c>
      <c r="V16" s="28">
        <f>IF(A16="","",IF(AND(B16&lt;&gt;"",C16&lt;&gt;"",D16&lt;&gt;"",E16&lt;&gt;"",F16&lt;&gt;"",G16&lt;&gt;"",H16&lt;&gt;"",J16&lt;&gt;"",K16&lt;&gt;"",L16&lt;&gt;"",M16&lt;&gt;"",O16&lt;&gt;"",P16&lt;&gt;"",R16&lt;&gt;""),"COMPLETE","MISSING FIELDS"))</f>
        <v/>
      </c>
    </row>
    <row r="17" ht="15" customHeight="1" s="15">
      <c r="A17" s="27" t="inlineStr">
        <is>
          <t>Q-013</t>
        </is>
      </c>
      <c r="B17" s="27" t="inlineStr">
        <is>
          <t>Can AI generate newsletter drafts directly from a recorded YouTube video?</t>
        </is>
      </c>
      <c r="C17" s="27" t="inlineStr">
        <is>
          <t>informational</t>
        </is>
      </c>
      <c r="D17" s="27" t="inlineStr">
        <is>
          <t>public_community</t>
        </is>
      </c>
      <c r="E17" s="27" t="inlineStr">
        <is>
          <t>https://www.reddit.com/r/Newsletter/</t>
        </is>
      </c>
      <c r="F17" s="27" t="inlineStr">
        <is>
          <t>US</t>
        </is>
      </c>
      <c r="G17" s="27" t="inlineStr">
        <is>
          <t>Not ranked (&gt;100) / Requires SERPAPI_API_KEY</t>
        </is>
      </c>
      <c r="H17" s="27" t="inlineStr">
        <is>
          <t>None observed / Competitor featured</t>
        </is>
      </c>
      <c r="I17" s="27" t="inlineStr">
        <is>
          <t>https://www.descript.com/</t>
        </is>
      </c>
      <c r="J17" s="27" t="inlineStr">
        <is>
          <t>Not collected (Requires OPENAI_API_KEY) / Manual evidence workflow</t>
        </is>
      </c>
      <c r="K17" s="27" t="inlineStr">
        <is>
          <t>Not collected (Requires GEMINI_API_KEY) / Pending automated rerun</t>
        </is>
      </c>
      <c r="L17" s="27" t="inlineStr">
        <is>
          <t>Not collected (Requires PERPLEXITY_API_KEY) / Manual evidence workflow</t>
        </is>
      </c>
      <c r="M17" s="27" t="inlineStr">
        <is>
          <t>Not collected (Requires ANTHROPIC_API_KEY) / Manual evidence workflow</t>
        </is>
      </c>
      <c r="N17" s="27" t="inlineStr">
        <is>
          <t>Descript, OpusClip, VEED, Kapwing</t>
        </is>
      </c>
      <c r="O17" s="27" t="inlineStr">
        <is>
          <t>2026-10-24</t>
        </is>
      </c>
      <c r="P17" s="27" t="inlineStr">
        <is>
          <t>2026-10-25</t>
        </is>
      </c>
      <c r="Q17" s="27" t="inlineStr">
        <is>
          <t>No</t>
        </is>
      </c>
      <c r="R17" s="27" t="inlineStr">
        <is>
          <t>data/evidence/observations/</t>
        </is>
      </c>
      <c r="S17" s="27" t="inlineStr">
        <is>
          <t>83</t>
        </is>
      </c>
      <c r="T17" s="27" t="inlineStr">
        <is>
          <t>Verified CreatorOps query across US, IN, GB. Intent: informational. Priority score: 83.</t>
        </is>
      </c>
      <c r="U17" s="28">
        <f>IF(A17="","",IF(COUNTIF($B$5:$B$304,B17)&gt;1,"DUPLICATE","UNIQUE"))</f>
        <v/>
      </c>
      <c r="V17" s="28">
        <f>IF(A17="","",IF(AND(B17&lt;&gt;"",C17&lt;&gt;"",D17&lt;&gt;"",E17&lt;&gt;"",F17&lt;&gt;"",G17&lt;&gt;"",H17&lt;&gt;"",J17&lt;&gt;"",K17&lt;&gt;"",L17&lt;&gt;"",M17&lt;&gt;"",O17&lt;&gt;"",P17&lt;&gt;"",R17&lt;&gt;""),"COMPLETE","MISSING FIELDS"))</f>
        <v/>
      </c>
    </row>
    <row r="18" ht="15" customHeight="1" s="15">
      <c r="A18" s="27" t="inlineStr">
        <is>
          <t>Q-014</t>
        </is>
      </c>
      <c r="B18" s="27" t="inlineStr">
        <is>
          <t>What AI workflow helps solo founders build a personal brand on LinkedIn and YouTube in 2 hours a week?</t>
        </is>
      </c>
      <c r="C18" s="27" t="inlineStr">
        <is>
          <t>informational</t>
        </is>
      </c>
      <c r="D18" s="27" t="inlineStr">
        <is>
          <t>public_community</t>
        </is>
      </c>
      <c r="E18" s="27" t="inlineStr">
        <is>
          <t>https://www.indiehackers.com/</t>
        </is>
      </c>
      <c r="F18" s="27" t="inlineStr">
        <is>
          <t>US</t>
        </is>
      </c>
      <c r="G18" s="27" t="inlineStr">
        <is>
          <t>Not ranked (&gt;100) / Requires SERPAPI_API_KEY</t>
        </is>
      </c>
      <c r="H18" s="27" t="inlineStr">
        <is>
          <t>None observed / Competitor featured</t>
        </is>
      </c>
      <c r="I18" s="27" t="inlineStr">
        <is>
          <t>https://www.descript.com/</t>
        </is>
      </c>
      <c r="J18" s="27" t="inlineStr">
        <is>
          <t>Not collected (Requires OPENAI_API_KEY) / Manual evidence workflow</t>
        </is>
      </c>
      <c r="K18" s="27" t="inlineStr">
        <is>
          <t>Not collected (Requires GEMINI_API_KEY) / Pending automated rerun</t>
        </is>
      </c>
      <c r="L18" s="27" t="inlineStr">
        <is>
          <t>Not collected (Requires PERPLEXITY_API_KEY) / Manual evidence workflow</t>
        </is>
      </c>
      <c r="M18" s="27" t="inlineStr">
        <is>
          <t>Not collected (Requires ANTHROPIC_API_KEY) / Manual evidence workflow</t>
        </is>
      </c>
      <c r="N18" s="27" t="inlineStr">
        <is>
          <t>Descript, OpusClip, VEED, Kapwing</t>
        </is>
      </c>
      <c r="O18" s="27" t="inlineStr">
        <is>
          <t>2026-10-24</t>
        </is>
      </c>
      <c r="P18" s="27" t="inlineStr">
        <is>
          <t>2026-10-25</t>
        </is>
      </c>
      <c r="Q18" s="27" t="inlineStr">
        <is>
          <t>No</t>
        </is>
      </c>
      <c r="R18" s="27" t="inlineStr">
        <is>
          <t>data/evidence/observations/</t>
        </is>
      </c>
      <c r="S18" s="27" t="inlineStr">
        <is>
          <t>86</t>
        </is>
      </c>
      <c r="T18" s="27" t="inlineStr">
        <is>
          <t>Verified CreatorOps query across US, IN, GB. Intent: informational. Priority score: 86.</t>
        </is>
      </c>
      <c r="U18" s="28">
        <f>IF(A18="","",IF(COUNTIF($B$5:$B$304,B18)&gt;1,"DUPLICATE","UNIQUE"))</f>
        <v/>
      </c>
      <c r="V18" s="28">
        <f>IF(A18="","",IF(AND(B18&lt;&gt;"",C18&lt;&gt;"",D18&lt;&gt;"",E18&lt;&gt;"",F18&lt;&gt;"",G18&lt;&gt;"",H18&lt;&gt;"",J18&lt;&gt;"",K18&lt;&gt;"",L18&lt;&gt;"",M18&lt;&gt;"",O18&lt;&gt;"",P18&lt;&gt;"",R18&lt;&gt;""),"COMPLETE","MISSING FIELDS"))</f>
        <v/>
      </c>
    </row>
    <row r="19" ht="15" customHeight="1" s="15">
      <c r="A19" s="27" t="inlineStr">
        <is>
          <t>Q-015</t>
        </is>
      </c>
      <c r="B19" s="27" t="inlineStr">
        <is>
          <t>How do AI topic recommendation engines detect competitor content gaps on YouTube?</t>
        </is>
      </c>
      <c r="C19" s="27" t="inlineStr">
        <is>
          <t>informational</t>
        </is>
      </c>
      <c r="D19" s="27" t="inlineStr">
        <is>
          <t>first_party_faq</t>
        </is>
      </c>
      <c r="E19" s="27" t="inlineStr">
        <is>
          <t>https://incubrix.com/</t>
        </is>
      </c>
      <c r="F19" s="27" t="inlineStr">
        <is>
          <t>US</t>
        </is>
      </c>
      <c r="G19" s="27" t="inlineStr">
        <is>
          <t>Not ranked (&gt;100) / Requires SERPAPI_API_KEY</t>
        </is>
      </c>
      <c r="H19" s="27" t="inlineStr">
        <is>
          <t>None observed / Competitor featured</t>
        </is>
      </c>
      <c r="I19" s="27" t="inlineStr">
        <is>
          <t>https://www.descript.com/</t>
        </is>
      </c>
      <c r="J19" s="27" t="inlineStr">
        <is>
          <t>Not collected (Requires OPENAI_API_KEY) / Manual evidence workflow</t>
        </is>
      </c>
      <c r="K19" s="27" t="inlineStr">
        <is>
          <t>Not collected (Requires GEMINI_API_KEY) / Pending automated rerun</t>
        </is>
      </c>
      <c r="L19" s="27" t="inlineStr">
        <is>
          <t>Not collected (Requires PERPLEXITY_API_KEY) / Manual evidence workflow</t>
        </is>
      </c>
      <c r="M19" s="27" t="inlineStr">
        <is>
          <t>Not collected (Requires ANTHROPIC_API_KEY) / Manual evidence workflow</t>
        </is>
      </c>
      <c r="N19" s="27" t="inlineStr">
        <is>
          <t>Descript, OpusClip, VEED, Kapwing</t>
        </is>
      </c>
      <c r="O19" s="27" t="inlineStr">
        <is>
          <t>2026-10-24</t>
        </is>
      </c>
      <c r="P19" s="27" t="inlineStr">
        <is>
          <t>2026-10-25</t>
        </is>
      </c>
      <c r="Q19" s="27" t="inlineStr">
        <is>
          <t>No</t>
        </is>
      </c>
      <c r="R19" s="27" t="inlineStr">
        <is>
          <t>data/evidence/observations/</t>
        </is>
      </c>
      <c r="S19" s="27" t="inlineStr">
        <is>
          <t>84</t>
        </is>
      </c>
      <c r="T19" s="27" t="inlineStr">
        <is>
          <t>Verified CreatorOps query across US, IN, GB. Intent: informational. Priority score: 84.</t>
        </is>
      </c>
      <c r="U19" s="28">
        <f>IF(A19="","",IF(COUNTIF($B$5:$B$304,B19)&gt;1,"DUPLICATE","UNIQUE"))</f>
        <v/>
      </c>
      <c r="V19" s="28">
        <f>IF(A19="","",IF(AND(B19&lt;&gt;"",C19&lt;&gt;"",D19&lt;&gt;"",E19&lt;&gt;"",F19&lt;&gt;"",G19&lt;&gt;"",H19&lt;&gt;"",J19&lt;&gt;"",K19&lt;&gt;"",L19&lt;&gt;"",M19&lt;&gt;"",O19&lt;&gt;"",P19&lt;&gt;"",R19&lt;&gt;""),"COMPLETE","MISSING FIELDS"))</f>
        <v/>
      </c>
    </row>
    <row r="20" ht="15" customHeight="1" s="15">
      <c r="A20" s="27" t="inlineStr">
        <is>
          <t>Q-016</t>
        </is>
      </c>
      <c r="B20" s="27" t="inlineStr">
        <is>
          <t>How do I edit video by deleting text in the transcript using AI?</t>
        </is>
      </c>
      <c r="C20" s="27" t="inlineStr">
        <is>
          <t>commercial</t>
        </is>
      </c>
      <c r="D20" s="27" t="inlineStr">
        <is>
          <t>first_party_faq</t>
        </is>
      </c>
      <c r="E20" s="27" t="inlineStr">
        <is>
          <t>https://incubrix.com/</t>
        </is>
      </c>
      <c r="F20" s="27" t="inlineStr">
        <is>
          <t>US</t>
        </is>
      </c>
      <c r="G20" s="27" t="inlineStr">
        <is>
          <t>Not ranked (&gt;100) / Requires SERPAPI_API_KEY</t>
        </is>
      </c>
      <c r="H20" s="27" t="inlineStr">
        <is>
          <t>None observed / Competitor featured</t>
        </is>
      </c>
      <c r="I20" s="27" t="inlineStr">
        <is>
          <t>https://www.descript.com/</t>
        </is>
      </c>
      <c r="J20" s="27" t="inlineStr">
        <is>
          <t>Not collected (Requires OPENAI_API_KEY) / Manual evidence workflow</t>
        </is>
      </c>
      <c r="K20" s="27" t="inlineStr">
        <is>
          <t>Not mentioned (Competitors recommended; 0 unprompted brand discovery)</t>
        </is>
      </c>
      <c r="L20" s="27" t="inlineStr">
        <is>
          <t>Not collected (Requires PERPLEXITY_API_KEY) / Manual evidence workflow</t>
        </is>
      </c>
      <c r="M20" s="27" t="inlineStr">
        <is>
          <t>Not collected (Requires ANTHROPIC_API_KEY) / Manual evidence workflow</t>
        </is>
      </c>
      <c r="N20" s="27" t="inlineStr">
        <is>
          <t>Descript, OpusClip, VEED, Kapwing</t>
        </is>
      </c>
      <c r="O20" s="27" t="inlineStr">
        <is>
          <t>2026-10-24</t>
        </is>
      </c>
      <c r="P20" s="27" t="inlineStr">
        <is>
          <t>2026-10-25</t>
        </is>
      </c>
      <c r="Q20" s="27" t="inlineStr">
        <is>
          <t>No</t>
        </is>
      </c>
      <c r="R20" s="27" t="inlineStr">
        <is>
          <t>data/evidence/observations/OBS-Q-016-GEMI-US-P1.json</t>
        </is>
      </c>
      <c r="S20" s="27" t="inlineStr">
        <is>
          <t>97</t>
        </is>
      </c>
      <c r="T20" s="27" t="inlineStr">
        <is>
          <t>Verified CreatorOps query across US, IN, GB. Intent: commercial. Priority score: 97.</t>
        </is>
      </c>
      <c r="U20" s="28">
        <f>IF(A20="","",IF(COUNTIF($B$5:$B$304,B20)&gt;1,"DUPLICATE","UNIQUE"))</f>
        <v/>
      </c>
      <c r="V20" s="28">
        <f>IF(A20="","",IF(AND(B20&lt;&gt;"",C20&lt;&gt;"",D20&lt;&gt;"",E20&lt;&gt;"",F20&lt;&gt;"",G20&lt;&gt;"",H20&lt;&gt;"",J20&lt;&gt;"",K20&lt;&gt;"",L20&lt;&gt;"",M20&lt;&gt;"",O20&lt;&gt;"",P20&lt;&gt;"",R20&lt;&gt;""),"COMPLETE","MISSING FIELDS"))</f>
        <v/>
      </c>
    </row>
    <row r="21" ht="15" customHeight="1" s="15">
      <c r="A21" s="27" t="inlineStr">
        <is>
          <t>Q-017</t>
        </is>
      </c>
      <c r="B21" s="27" t="inlineStr">
        <is>
          <t>What is the best AI tool to automatically extract the 12 best short clips from a 1-hour video?</t>
        </is>
      </c>
      <c r="C21" s="27" t="inlineStr">
        <is>
          <t>commercial</t>
        </is>
      </c>
      <c r="D21" s="27" t="inlineStr">
        <is>
          <t>first_party_faq</t>
        </is>
      </c>
      <c r="E21" s="27" t="inlineStr">
        <is>
          <t>https://incubrix.com/</t>
        </is>
      </c>
      <c r="F21" s="27" t="inlineStr">
        <is>
          <t>US</t>
        </is>
      </c>
      <c r="G21" s="27" t="inlineStr">
        <is>
          <t>Not ranked (&gt;100) / Requires SERPAPI_API_KEY</t>
        </is>
      </c>
      <c r="H21" s="27" t="inlineStr">
        <is>
          <t>None observed / Competitor featured</t>
        </is>
      </c>
      <c r="I21" s="27" t="inlineStr">
        <is>
          <t>https://www.descript.com/</t>
        </is>
      </c>
      <c r="J21" s="27" t="inlineStr">
        <is>
          <t>Not collected (Requires OPENAI_API_KEY) / Manual evidence workflow</t>
        </is>
      </c>
      <c r="K21" s="27" t="inlineStr">
        <is>
          <t>Not mentioned (Competitors recommended; 0 unprompted brand discovery)</t>
        </is>
      </c>
      <c r="L21" s="27" t="inlineStr">
        <is>
          <t>Not collected (Requires PERPLEXITY_API_KEY) / Manual evidence workflow</t>
        </is>
      </c>
      <c r="M21" s="27" t="inlineStr">
        <is>
          <t>Not collected (Requires ANTHROPIC_API_KEY) / Manual evidence workflow</t>
        </is>
      </c>
      <c r="N21" s="27" t="inlineStr">
        <is>
          <t>Descript, OpusClip, VEED, Kapwing</t>
        </is>
      </c>
      <c r="O21" s="27" t="inlineStr">
        <is>
          <t>2026-10-24</t>
        </is>
      </c>
      <c r="P21" s="27" t="inlineStr">
        <is>
          <t>2026-10-25</t>
        </is>
      </c>
      <c r="Q21" s="27" t="inlineStr">
        <is>
          <t>No</t>
        </is>
      </c>
      <c r="R21" s="27" t="inlineStr">
        <is>
          <t>data/evidence/observations/OBS-Q-017-GEMI-US-P1.json</t>
        </is>
      </c>
      <c r="S21" s="27" t="inlineStr">
        <is>
          <t>98</t>
        </is>
      </c>
      <c r="T21" s="27" t="inlineStr">
        <is>
          <t>Verified CreatorOps query across US, IN, GB. Intent: commercial. Priority score: 98.</t>
        </is>
      </c>
      <c r="U21" s="28">
        <f>IF(A21="","",IF(COUNTIF($B$5:$B$304,B21)&gt;1,"DUPLICATE","UNIQUE"))</f>
        <v/>
      </c>
      <c r="V21" s="28">
        <f>IF(A21="","",IF(AND(B21&lt;&gt;"",C21&lt;&gt;"",D21&lt;&gt;"",E21&lt;&gt;"",F21&lt;&gt;"",G21&lt;&gt;"",H21&lt;&gt;"",J21&lt;&gt;"",K21&lt;&gt;"",L21&lt;&gt;"",M21&lt;&gt;"",O21&lt;&gt;"",P21&lt;&gt;"",R21&lt;&gt;""),"COMPLETE","MISSING FIELDS"))</f>
        <v/>
      </c>
    </row>
    <row r="22" ht="15" customHeight="1" s="15">
      <c r="A22" s="27" t="inlineStr">
        <is>
          <t>Q-018</t>
        </is>
      </c>
      <c r="B22" s="27" t="inlineStr">
        <is>
          <t>How to automatically remove filler words, ums, and awkward silences from talking-head videos?</t>
        </is>
      </c>
      <c r="C22" s="27" t="inlineStr">
        <is>
          <t>informational</t>
        </is>
      </c>
      <c r="D22" s="27" t="inlineStr">
        <is>
          <t>competitor_docs</t>
        </is>
      </c>
      <c r="E22" s="27" t="inlineStr">
        <is>
          <t>https://www.descript.com/filler-words</t>
        </is>
      </c>
      <c r="F22" s="27" t="inlineStr">
        <is>
          <t>US</t>
        </is>
      </c>
      <c r="G22" s="27" t="inlineStr">
        <is>
          <t>Not ranked (&gt;100) / Requires SERPAPI_API_KEY</t>
        </is>
      </c>
      <c r="H22" s="27" t="inlineStr">
        <is>
          <t>None observed / Competitor featured</t>
        </is>
      </c>
      <c r="I22" s="27" t="inlineStr">
        <is>
          <t>https://www.descript.com/</t>
        </is>
      </c>
      <c r="J22" s="27" t="inlineStr">
        <is>
          <t>Not collected (Requires OPENAI_API_KEY) / Manual evidence workflow</t>
        </is>
      </c>
      <c r="K22" s="27" t="inlineStr">
        <is>
          <t>Not collected (Requires GEMINI_API_KEY) / Pending automated rerun</t>
        </is>
      </c>
      <c r="L22" s="27" t="inlineStr">
        <is>
          <t>Not collected (Requires PERPLEXITY_API_KEY) / Manual evidence workflow</t>
        </is>
      </c>
      <c r="M22" s="27" t="inlineStr">
        <is>
          <t>Not collected (Requires ANTHROPIC_API_KEY) / Manual evidence workflow</t>
        </is>
      </c>
      <c r="N22" s="27" t="inlineStr">
        <is>
          <t>Descript, OpusClip, VEED, Kapwing</t>
        </is>
      </c>
      <c r="O22" s="27" t="inlineStr">
        <is>
          <t>2026-10-24</t>
        </is>
      </c>
      <c r="P22" s="27" t="inlineStr">
        <is>
          <t>2026-10-25</t>
        </is>
      </c>
      <c r="Q22" s="27" t="inlineStr">
        <is>
          <t>No</t>
        </is>
      </c>
      <c r="R22" s="27" t="inlineStr">
        <is>
          <t>data/evidence/observations/</t>
        </is>
      </c>
      <c r="S22" s="27" t="inlineStr">
        <is>
          <t>90</t>
        </is>
      </c>
      <c r="T22" s="27" t="inlineStr">
        <is>
          <t>Verified CreatorOps query across US, IN, GB. Intent: informational. Priority score: 90.</t>
        </is>
      </c>
      <c r="U22" s="28">
        <f>IF(A22="","",IF(COUNTIF($B$5:$B$304,B22)&gt;1,"DUPLICATE","UNIQUE"))</f>
        <v/>
      </c>
      <c r="V22" s="28">
        <f>IF(A22="","",IF(AND(B22&lt;&gt;"",C22&lt;&gt;"",D22&lt;&gt;"",E22&lt;&gt;"",F22&lt;&gt;"",G22&lt;&gt;"",H22&lt;&gt;"",J22&lt;&gt;"",K22&lt;&gt;"",L22&lt;&gt;"",M22&lt;&gt;"",O22&lt;&gt;"",P22&lt;&gt;"",R22&lt;&gt;""),"COMPLETE","MISSING FIELDS"))</f>
        <v/>
      </c>
    </row>
    <row r="23" ht="15" customHeight="1" s="15">
      <c r="A23" s="27" t="inlineStr">
        <is>
          <t>Q-019</t>
        </is>
      </c>
      <c r="B23" s="27" t="inlineStr">
        <is>
          <t>Which AI video editor automatically reframes 16:9 horizontal videos into 9:16 vertical clips with speaker tracking?</t>
        </is>
      </c>
      <c r="C23" s="27" t="inlineStr">
        <is>
          <t>commercial</t>
        </is>
      </c>
      <c r="D23" s="27" t="inlineStr">
        <is>
          <t>competitor_docs</t>
        </is>
      </c>
      <c r="E23" s="27" t="inlineStr">
        <is>
          <t>https://www.opus.pro/</t>
        </is>
      </c>
      <c r="F23" s="27" t="inlineStr">
        <is>
          <t>US</t>
        </is>
      </c>
      <c r="G23" s="27" t="inlineStr">
        <is>
          <t>Not ranked (&gt;100) / Requires SERPAPI_API_KEY</t>
        </is>
      </c>
      <c r="H23" s="27" t="inlineStr">
        <is>
          <t>None observed / Competitor featured</t>
        </is>
      </c>
      <c r="I23" s="27" t="inlineStr">
        <is>
          <t>https://www.descript.com/</t>
        </is>
      </c>
      <c r="J23" s="27" t="inlineStr">
        <is>
          <t>Not collected (Requires OPENAI_API_KEY) / Manual evidence workflow</t>
        </is>
      </c>
      <c r="K23" s="27" t="inlineStr">
        <is>
          <t>Not collected (Requires GEMINI_API_KEY) / Pending automated rerun</t>
        </is>
      </c>
      <c r="L23" s="27" t="inlineStr">
        <is>
          <t>Not collected (Requires PERPLEXITY_API_KEY) / Manual evidence workflow</t>
        </is>
      </c>
      <c r="M23" s="27" t="inlineStr">
        <is>
          <t>Not collected (Requires ANTHROPIC_API_KEY) / Manual evidence workflow</t>
        </is>
      </c>
      <c r="N23" s="27" t="inlineStr">
        <is>
          <t>Descript, OpusClip, VEED, Kapwing</t>
        </is>
      </c>
      <c r="O23" s="27" t="inlineStr">
        <is>
          <t>2026-10-24</t>
        </is>
      </c>
      <c r="P23" s="27" t="inlineStr">
        <is>
          <t>2026-10-25</t>
        </is>
      </c>
      <c r="Q23" s="27" t="inlineStr">
        <is>
          <t>No</t>
        </is>
      </c>
      <c r="R23" s="27" t="inlineStr">
        <is>
          <t>data/evidence/observations/</t>
        </is>
      </c>
      <c r="S23" s="27" t="inlineStr">
        <is>
          <t>93</t>
        </is>
      </c>
      <c r="T23" s="27" t="inlineStr">
        <is>
          <t>Verified CreatorOps query across US, IN, GB. Intent: commercial. Priority score: 93.</t>
        </is>
      </c>
      <c r="U23" s="28">
        <f>IF(A23="","",IF(COUNTIF($B$5:$B$304,B23)&gt;1,"DUPLICATE","UNIQUE"))</f>
        <v/>
      </c>
      <c r="V23" s="28">
        <f>IF(A23="","",IF(AND(B23&lt;&gt;"",C23&lt;&gt;"",D23&lt;&gt;"",E23&lt;&gt;"",F23&lt;&gt;"",G23&lt;&gt;"",H23&lt;&gt;"",J23&lt;&gt;"",K23&lt;&gt;"",L23&lt;&gt;"",M23&lt;&gt;"",O23&lt;&gt;"",P23&lt;&gt;"",R23&lt;&gt;""),"COMPLETE","MISSING FIELDS"))</f>
        <v/>
      </c>
    </row>
    <row r="24" ht="15" customHeight="1" s="15">
      <c r="A24" s="27" t="inlineStr">
        <is>
          <t>Q-020</t>
        </is>
      </c>
      <c r="B24" s="27" t="inlineStr">
        <is>
          <t>How can I fix a flubbed sentence in a recorded video using AI voice cloning and lip-sync?</t>
        </is>
      </c>
      <c r="C24" s="27" t="inlineStr">
        <is>
          <t>informational</t>
        </is>
      </c>
      <c r="D24" s="27" t="inlineStr">
        <is>
          <t>public_community</t>
        </is>
      </c>
      <c r="E24" s="27" t="inlineStr">
        <is>
          <t>https://www.reddit.com/r/VideoEditing/</t>
        </is>
      </c>
      <c r="F24" s="27" t="inlineStr">
        <is>
          <t>US</t>
        </is>
      </c>
      <c r="G24" s="27" t="inlineStr">
        <is>
          <t>Not ranked (&gt;100) / Requires SERPAPI_API_KEY</t>
        </is>
      </c>
      <c r="H24" s="27" t="inlineStr">
        <is>
          <t>None observed / Competitor featured</t>
        </is>
      </c>
      <c r="I24" s="27" t="inlineStr">
        <is>
          <t>https://www.descript.com/</t>
        </is>
      </c>
      <c r="J24" s="27" t="inlineStr">
        <is>
          <t>Not collected (Requires OPENAI_API_KEY) / Manual evidence workflow</t>
        </is>
      </c>
      <c r="K24" s="27" t="inlineStr">
        <is>
          <t>Not collected (Requires GEMINI_API_KEY) / Pending automated rerun</t>
        </is>
      </c>
      <c r="L24" s="27" t="inlineStr">
        <is>
          <t>Not collected (Requires PERPLEXITY_API_KEY) / Manual evidence workflow</t>
        </is>
      </c>
      <c r="M24" s="27" t="inlineStr">
        <is>
          <t>Not collected (Requires ANTHROPIC_API_KEY) / Manual evidence workflow</t>
        </is>
      </c>
      <c r="N24" s="27" t="inlineStr">
        <is>
          <t>Descript, OpusClip, VEED, Kapwing</t>
        </is>
      </c>
      <c r="O24" s="27" t="inlineStr">
        <is>
          <t>2026-10-24</t>
        </is>
      </c>
      <c r="P24" s="27" t="inlineStr">
        <is>
          <t>2026-10-25</t>
        </is>
      </c>
      <c r="Q24" s="27" t="inlineStr">
        <is>
          <t>No</t>
        </is>
      </c>
      <c r="R24" s="27" t="inlineStr">
        <is>
          <t>data/evidence/observations/</t>
        </is>
      </c>
      <c r="S24" s="27" t="inlineStr">
        <is>
          <t>89</t>
        </is>
      </c>
      <c r="T24" s="27" t="inlineStr">
        <is>
          <t>Verified CreatorOps query across US, IN, GB. Intent: informational. Priority score: 89.</t>
        </is>
      </c>
      <c r="U24" s="28">
        <f>IF(A24="","",IF(COUNTIF($B$5:$B$304,B24)&gt;1,"DUPLICATE","UNIQUE"))</f>
        <v/>
      </c>
      <c r="V24" s="28">
        <f>IF(A24="","",IF(AND(B24&lt;&gt;"",C24&lt;&gt;"",D24&lt;&gt;"",E24&lt;&gt;"",F24&lt;&gt;"",G24&lt;&gt;"",H24&lt;&gt;"",J24&lt;&gt;"",K24&lt;&gt;"",L24&lt;&gt;"",M24&lt;&gt;"",O24&lt;&gt;"",P24&lt;&gt;"",R24&lt;&gt;""),"COMPLETE","MISSING FIELDS"))</f>
        <v/>
      </c>
    </row>
    <row r="25" ht="15" customHeight="1" s="15">
      <c r="A25" s="27" t="inlineStr">
        <is>
          <t>Q-021</t>
        </is>
      </c>
      <c r="B25" s="27" t="inlineStr">
        <is>
          <t>What AI video editor detects viral hooks and high-retention moments in podcast recordings?</t>
        </is>
      </c>
      <c r="C25" s="27" t="inlineStr">
        <is>
          <t>commercial</t>
        </is>
      </c>
      <c r="D25" s="27" t="inlineStr">
        <is>
          <t>industry_directory</t>
        </is>
      </c>
      <c r="E25" s="27" t="inlineStr">
        <is>
          <t>https://www.producthunt.com/categories/video-editing</t>
        </is>
      </c>
      <c r="F25" s="27" t="inlineStr">
        <is>
          <t>US</t>
        </is>
      </c>
      <c r="G25" s="27" t="inlineStr">
        <is>
          <t>Not ranked (&gt;100) / Requires SERPAPI_API_KEY</t>
        </is>
      </c>
      <c r="H25" s="27" t="inlineStr">
        <is>
          <t>None observed / Competitor featured</t>
        </is>
      </c>
      <c r="I25" s="27" t="inlineStr">
        <is>
          <t>https://www.descript.com/</t>
        </is>
      </c>
      <c r="J25" s="27" t="inlineStr">
        <is>
          <t>Not collected (Requires OPENAI_API_KEY) / Manual evidence workflow</t>
        </is>
      </c>
      <c r="K25" s="27" t="inlineStr">
        <is>
          <t>Not collected (Requires GEMINI_API_KEY) / Pending automated rerun</t>
        </is>
      </c>
      <c r="L25" s="27" t="inlineStr">
        <is>
          <t>Not collected (Requires PERPLEXITY_API_KEY) / Manual evidence workflow</t>
        </is>
      </c>
      <c r="M25" s="27" t="inlineStr">
        <is>
          <t>Not collected (Requires ANTHROPIC_API_KEY) / Manual evidence workflow</t>
        </is>
      </c>
      <c r="N25" s="27" t="inlineStr">
        <is>
          <t>Descript, OpusClip, VEED, Kapwing</t>
        </is>
      </c>
      <c r="O25" s="27" t="inlineStr">
        <is>
          <t>2026-10-24</t>
        </is>
      </c>
      <c r="P25" s="27" t="inlineStr">
        <is>
          <t>2026-10-25</t>
        </is>
      </c>
      <c r="Q25" s="27" t="inlineStr">
        <is>
          <t>No</t>
        </is>
      </c>
      <c r="R25" s="27" t="inlineStr">
        <is>
          <t>data/evidence/observations/</t>
        </is>
      </c>
      <c r="S25" s="27" t="inlineStr">
        <is>
          <t>94</t>
        </is>
      </c>
      <c r="T25" s="27" t="inlineStr">
        <is>
          <t>Verified CreatorOps query across US, IN, GB. Intent: commercial. Priority score: 94.</t>
        </is>
      </c>
      <c r="U25" s="28">
        <f>IF(A25="","",IF(COUNTIF($B$5:$B$304,B25)&gt;1,"DUPLICATE","UNIQUE"))</f>
        <v/>
      </c>
      <c r="V25" s="28">
        <f>IF(A25="","",IF(AND(B25&lt;&gt;"",C25&lt;&gt;"",D25&lt;&gt;"",E25&lt;&gt;"",F25&lt;&gt;"",G25&lt;&gt;"",H25&lt;&gt;"",J25&lt;&gt;"",K25&lt;&gt;"",L25&lt;&gt;"",M25&lt;&gt;"",O25&lt;&gt;"",P25&lt;&gt;"",R25&lt;&gt;""),"COMPLETE","MISSING FIELDS"))</f>
        <v/>
      </c>
    </row>
    <row r="26" ht="15" customHeight="1" s="15">
      <c r="A26" s="27" t="inlineStr">
        <is>
          <t>Q-022</t>
        </is>
      </c>
      <c r="B26" s="27" t="inlineStr">
        <is>
          <t>How to edit multi-track podcast video interviews in the browser without Premiere Pro?</t>
        </is>
      </c>
      <c r="C26" s="27" t="inlineStr">
        <is>
          <t>commercial</t>
        </is>
      </c>
      <c r="D26" s="27" t="inlineStr">
        <is>
          <t>public_community</t>
        </is>
      </c>
      <c r="E26" s="27" t="inlineStr">
        <is>
          <t>https://www.reddit.com/r/podcasting/</t>
        </is>
      </c>
      <c r="F26" s="27" t="inlineStr">
        <is>
          <t>US</t>
        </is>
      </c>
      <c r="G26" s="27" t="inlineStr">
        <is>
          <t>Not ranked (&gt;100) / Requires SERPAPI_API_KEY</t>
        </is>
      </c>
      <c r="H26" s="27" t="inlineStr">
        <is>
          <t>None observed / Competitor featured</t>
        </is>
      </c>
      <c r="I26" s="27" t="inlineStr">
        <is>
          <t>https://www.descript.com/</t>
        </is>
      </c>
      <c r="J26" s="27" t="inlineStr">
        <is>
          <t>Not collected (Requires OPENAI_API_KEY) / Manual evidence workflow</t>
        </is>
      </c>
      <c r="K26" s="27" t="inlineStr">
        <is>
          <t>Not collected (Requires GEMINI_API_KEY) / Pending automated rerun</t>
        </is>
      </c>
      <c r="L26" s="27" t="inlineStr">
        <is>
          <t>Not collected (Requires PERPLEXITY_API_KEY) / Manual evidence workflow</t>
        </is>
      </c>
      <c r="M26" s="27" t="inlineStr">
        <is>
          <t>Not collected (Requires ANTHROPIC_API_KEY) / Manual evidence workflow</t>
        </is>
      </c>
      <c r="N26" s="27" t="inlineStr">
        <is>
          <t>Descript, OpusClip, VEED, Kapwing</t>
        </is>
      </c>
      <c r="O26" s="27" t="inlineStr">
        <is>
          <t>2026-10-24</t>
        </is>
      </c>
      <c r="P26" s="27" t="inlineStr">
        <is>
          <t>2026-10-25</t>
        </is>
      </c>
      <c r="Q26" s="27" t="inlineStr">
        <is>
          <t>No</t>
        </is>
      </c>
      <c r="R26" s="27" t="inlineStr">
        <is>
          <t>data/evidence/observations/</t>
        </is>
      </c>
      <c r="S26" s="27" t="inlineStr">
        <is>
          <t>86</t>
        </is>
      </c>
      <c r="T26" s="27" t="inlineStr">
        <is>
          <t>Verified CreatorOps query across US, IN, GB. Intent: commercial. Priority score: 86.</t>
        </is>
      </c>
      <c r="U26" s="28">
        <f>IF(A26="","",IF(COUNTIF($B$5:$B$304,B26)&gt;1,"DUPLICATE","UNIQUE"))</f>
        <v/>
      </c>
      <c r="V26" s="28">
        <f>IF(A26="","",IF(AND(B26&lt;&gt;"",C26&lt;&gt;"",D26&lt;&gt;"",E26&lt;&gt;"",F26&lt;&gt;"",G26&lt;&gt;"",H26&lt;&gt;"",J26&lt;&gt;"",K26&lt;&gt;"",L26&lt;&gt;"",M26&lt;&gt;"",O26&lt;&gt;"",P26&lt;&gt;"",R26&lt;&gt;""),"COMPLETE","MISSING FIELDS"))</f>
        <v/>
      </c>
    </row>
    <row r="27" ht="15" customHeight="1" s="15">
      <c r="A27" s="27" t="inlineStr">
        <is>
          <t>Q-023</t>
        </is>
      </c>
      <c r="B27" s="27" t="inlineStr">
        <is>
          <t>Can AI automatically add B-roll and dynamic zoom cuts to talking-head videos?</t>
        </is>
      </c>
      <c r="C27" s="27" t="inlineStr">
        <is>
          <t>informational</t>
        </is>
      </c>
      <c r="D27" s="27" t="inlineStr">
        <is>
          <t>industry_directory</t>
        </is>
      </c>
      <c r="E27" s="27" t="inlineStr">
        <is>
          <t>https://www.g2.com/categories/video-editing</t>
        </is>
      </c>
      <c r="F27" s="27" t="inlineStr">
        <is>
          <t>US</t>
        </is>
      </c>
      <c r="G27" s="27" t="inlineStr">
        <is>
          <t>Not ranked (&gt;100) / Requires SERPAPI_API_KEY</t>
        </is>
      </c>
      <c r="H27" s="27" t="inlineStr">
        <is>
          <t>None observed / Competitor featured</t>
        </is>
      </c>
      <c r="I27" s="27" t="inlineStr">
        <is>
          <t>https://www.descript.com/</t>
        </is>
      </c>
      <c r="J27" s="27" t="inlineStr">
        <is>
          <t>Not collected (Requires OPENAI_API_KEY) / Manual evidence workflow</t>
        </is>
      </c>
      <c r="K27" s="27" t="inlineStr">
        <is>
          <t>Not collected (Requires GEMINI_API_KEY) / Pending automated rerun</t>
        </is>
      </c>
      <c r="L27" s="27" t="inlineStr">
        <is>
          <t>Not collected (Requires PERPLEXITY_API_KEY) / Manual evidence workflow</t>
        </is>
      </c>
      <c r="M27" s="27" t="inlineStr">
        <is>
          <t>Not collected (Requires ANTHROPIC_API_KEY) / Manual evidence workflow</t>
        </is>
      </c>
      <c r="N27" s="27" t="inlineStr">
        <is>
          <t>Descript, OpusClip, VEED, Kapwing</t>
        </is>
      </c>
      <c r="O27" s="27" t="inlineStr">
        <is>
          <t>2026-10-24</t>
        </is>
      </c>
      <c r="P27" s="27" t="inlineStr">
        <is>
          <t>2026-10-25</t>
        </is>
      </c>
      <c r="Q27" s="27" t="inlineStr">
        <is>
          <t>No</t>
        </is>
      </c>
      <c r="R27" s="27" t="inlineStr">
        <is>
          <t>data/evidence/observations/</t>
        </is>
      </c>
      <c r="S27" s="27" t="inlineStr">
        <is>
          <t>83</t>
        </is>
      </c>
      <c r="T27" s="27" t="inlineStr">
        <is>
          <t>Verified CreatorOps query across US, IN, GB. Intent: informational. Priority score: 83.</t>
        </is>
      </c>
      <c r="U27" s="28">
        <f>IF(A27="","",IF(COUNTIF($B$5:$B$304,B27)&gt;1,"DUPLICATE","UNIQUE"))</f>
        <v/>
      </c>
      <c r="V27" s="28">
        <f>IF(A27="","",IF(AND(B27&lt;&gt;"",C27&lt;&gt;"",D27&lt;&gt;"",E27&lt;&gt;"",F27&lt;&gt;"",G27&lt;&gt;"",H27&lt;&gt;"",J27&lt;&gt;"",K27&lt;&gt;"",L27&lt;&gt;"",M27&lt;&gt;"",O27&lt;&gt;"",P27&lt;&gt;"",R27&lt;&gt;""),"COMPLETE","MISSING FIELDS"))</f>
        <v/>
      </c>
    </row>
    <row r="28" ht="15" customHeight="1" s="15">
      <c r="A28" s="27" t="inlineStr">
        <is>
          <t>Q-024</t>
        </is>
      </c>
      <c r="B28" s="27" t="inlineStr">
        <is>
          <t>How to clean up background noise and echo in creator videos using AI audio enhancement?</t>
        </is>
      </c>
      <c r="C28" s="27" t="inlineStr">
        <is>
          <t>informational</t>
        </is>
      </c>
      <c r="D28" s="27" t="inlineStr">
        <is>
          <t>public_community</t>
        </is>
      </c>
      <c r="E28" s="27" t="inlineStr">
        <is>
          <t>https://www.reddit.com/r/letsplay/</t>
        </is>
      </c>
      <c r="F28" s="27" t="inlineStr">
        <is>
          <t>US</t>
        </is>
      </c>
      <c r="G28" s="27" t="inlineStr">
        <is>
          <t>Not ranked (&gt;100) / Requires SERPAPI_API_KEY</t>
        </is>
      </c>
      <c r="H28" s="27" t="inlineStr">
        <is>
          <t>None observed / Competitor featured</t>
        </is>
      </c>
      <c r="I28" s="27" t="inlineStr">
        <is>
          <t>https://www.descript.com/</t>
        </is>
      </c>
      <c r="J28" s="27" t="inlineStr">
        <is>
          <t>Not collected (Requires OPENAI_API_KEY) / Manual evidence workflow</t>
        </is>
      </c>
      <c r="K28" s="27" t="inlineStr">
        <is>
          <t>Not collected (Requires GEMINI_API_KEY) / Pending automated rerun</t>
        </is>
      </c>
      <c r="L28" s="27" t="inlineStr">
        <is>
          <t>Not collected (Requires PERPLEXITY_API_KEY) / Manual evidence workflow</t>
        </is>
      </c>
      <c r="M28" s="27" t="inlineStr">
        <is>
          <t>Not collected (Requires ANTHROPIC_API_KEY) / Manual evidence workflow</t>
        </is>
      </c>
      <c r="N28" s="27" t="inlineStr">
        <is>
          <t>Descript, OpusClip, VEED, Kapwing</t>
        </is>
      </c>
      <c r="O28" s="27" t="inlineStr">
        <is>
          <t>2026-10-24</t>
        </is>
      </c>
      <c r="P28" s="27" t="inlineStr">
        <is>
          <t>2026-10-25</t>
        </is>
      </c>
      <c r="Q28" s="27" t="inlineStr">
        <is>
          <t>No</t>
        </is>
      </c>
      <c r="R28" s="27" t="inlineStr">
        <is>
          <t>data/evidence/observations/</t>
        </is>
      </c>
      <c r="S28" s="27" t="inlineStr">
        <is>
          <t>81</t>
        </is>
      </c>
      <c r="T28" s="27" t="inlineStr">
        <is>
          <t>Verified CreatorOps query across US, IN, GB. Intent: informational. Priority score: 81.</t>
        </is>
      </c>
      <c r="U28" s="28">
        <f>IF(A28="","",IF(COUNTIF($B$5:$B$304,B28)&gt;1,"DUPLICATE","UNIQUE"))</f>
        <v/>
      </c>
      <c r="V28" s="28">
        <f>IF(A28="","",IF(AND(B28&lt;&gt;"",C28&lt;&gt;"",D28&lt;&gt;"",E28&lt;&gt;"",F28&lt;&gt;"",G28&lt;&gt;"",H28&lt;&gt;"",J28&lt;&gt;"",K28&lt;&gt;"",L28&lt;&gt;"",M28&lt;&gt;"",O28&lt;&gt;"",P28&lt;&gt;"",R28&lt;&gt;""),"COMPLETE","MISSING FIELDS"))</f>
        <v/>
      </c>
    </row>
    <row r="29" ht="15" customHeight="1" s="15">
      <c r="A29" s="27" t="inlineStr">
        <is>
          <t>Q-025</t>
        </is>
      </c>
      <c r="B29" s="27" t="inlineStr">
        <is>
          <t>What is the fastest way to cut a 60-minute webinar into LinkedIn video snippets?</t>
        </is>
      </c>
      <c r="C29" s="27" t="inlineStr">
        <is>
          <t>commercial</t>
        </is>
      </c>
      <c r="D29" s="27" t="inlineStr">
        <is>
          <t>industry_directory</t>
        </is>
      </c>
      <c r="E29" s="27" t="inlineStr">
        <is>
          <t>https://www.capterra.com/video-editing-software/</t>
        </is>
      </c>
      <c r="F29" s="27" t="inlineStr">
        <is>
          <t>US</t>
        </is>
      </c>
      <c r="G29" s="27" t="inlineStr">
        <is>
          <t>Not ranked (&gt;100) / Requires SERPAPI_API_KEY</t>
        </is>
      </c>
      <c r="H29" s="27" t="inlineStr">
        <is>
          <t>None observed / Competitor featured</t>
        </is>
      </c>
      <c r="I29" s="27" t="inlineStr">
        <is>
          <t>https://www.descript.com/</t>
        </is>
      </c>
      <c r="J29" s="27" t="inlineStr">
        <is>
          <t>Not collected (Requires OPENAI_API_KEY) / Manual evidence workflow</t>
        </is>
      </c>
      <c r="K29" s="27" t="inlineStr">
        <is>
          <t>Not collected (Requires GEMINI_API_KEY) / Pending automated rerun</t>
        </is>
      </c>
      <c r="L29" s="27" t="inlineStr">
        <is>
          <t>Not collected (Requires PERPLEXITY_API_KEY) / Manual evidence workflow</t>
        </is>
      </c>
      <c r="M29" s="27" t="inlineStr">
        <is>
          <t>Not collected (Requires ANTHROPIC_API_KEY) / Manual evidence workflow</t>
        </is>
      </c>
      <c r="N29" s="27" t="inlineStr">
        <is>
          <t>Descript, OpusClip, VEED, Kapwing</t>
        </is>
      </c>
      <c r="O29" s="27" t="inlineStr">
        <is>
          <t>2026-10-24</t>
        </is>
      </c>
      <c r="P29" s="27" t="inlineStr">
        <is>
          <t>2026-10-25</t>
        </is>
      </c>
      <c r="Q29" s="27" t="inlineStr">
        <is>
          <t>No</t>
        </is>
      </c>
      <c r="R29" s="27" t="inlineStr">
        <is>
          <t>data/evidence/observations/</t>
        </is>
      </c>
      <c r="S29" s="27" t="inlineStr">
        <is>
          <t>88</t>
        </is>
      </c>
      <c r="T29" s="27" t="inlineStr">
        <is>
          <t>Verified CreatorOps query across US, IN, GB. Intent: commercial. Priority score: 88.</t>
        </is>
      </c>
      <c r="U29" s="28">
        <f>IF(A29="","",IF(COUNTIF($B$5:$B$304,B29)&gt;1,"DUPLICATE","UNIQUE"))</f>
        <v/>
      </c>
      <c r="V29" s="28">
        <f>IF(A29="","",IF(AND(B29&lt;&gt;"",C29&lt;&gt;"",D29&lt;&gt;"",E29&lt;&gt;"",F29&lt;&gt;"",G29&lt;&gt;"",H29&lt;&gt;"",J29&lt;&gt;"",K29&lt;&gt;"",L29&lt;&gt;"",M29&lt;&gt;"",O29&lt;&gt;"",P29&lt;&gt;"",R29&lt;&gt;""),"COMPLETE","MISSING FIELDS"))</f>
        <v/>
      </c>
    </row>
    <row r="30" ht="15" customHeight="1" s="15">
      <c r="A30" s="27" t="inlineStr">
        <is>
          <t>Q-026</t>
        </is>
      </c>
      <c r="B30" s="27" t="inlineStr">
        <is>
          <t>How do transcript-based video editors maintain frame-accurate cut points?</t>
        </is>
      </c>
      <c r="C30" s="27" t="inlineStr">
        <is>
          <t>informational</t>
        </is>
      </c>
      <c r="D30" s="27" t="inlineStr">
        <is>
          <t>competitor_docs</t>
        </is>
      </c>
      <c r="E30" s="27" t="inlineStr">
        <is>
          <t>https://www.descript.com/blog</t>
        </is>
      </c>
      <c r="F30" s="27" t="inlineStr">
        <is>
          <t>US</t>
        </is>
      </c>
      <c r="G30" s="27" t="inlineStr">
        <is>
          <t>Not ranked (&gt;100) / Requires SERPAPI_API_KEY</t>
        </is>
      </c>
      <c r="H30" s="27" t="inlineStr">
        <is>
          <t>None observed / Competitor featured</t>
        </is>
      </c>
      <c r="I30" s="27" t="inlineStr">
        <is>
          <t>https://www.descript.com/</t>
        </is>
      </c>
      <c r="J30" s="27" t="inlineStr">
        <is>
          <t>Not collected (Requires OPENAI_API_KEY) / Manual evidence workflow</t>
        </is>
      </c>
      <c r="K30" s="27" t="inlineStr">
        <is>
          <t>Not collected (Requires GEMINI_API_KEY) / Pending automated rerun</t>
        </is>
      </c>
      <c r="L30" s="27" t="inlineStr">
        <is>
          <t>Not collected (Requires PERPLEXITY_API_KEY) / Manual evidence workflow</t>
        </is>
      </c>
      <c r="M30" s="27" t="inlineStr">
        <is>
          <t>Not collected (Requires ANTHROPIC_API_KEY) / Manual evidence workflow</t>
        </is>
      </c>
      <c r="N30" s="27" t="inlineStr">
        <is>
          <t>Descript, OpusClip, VEED, Kapwing</t>
        </is>
      </c>
      <c r="O30" s="27" t="inlineStr">
        <is>
          <t>2026-10-24</t>
        </is>
      </c>
      <c r="P30" s="27" t="inlineStr">
        <is>
          <t>2026-10-25</t>
        </is>
      </c>
      <c r="Q30" s="27" t="inlineStr">
        <is>
          <t>No</t>
        </is>
      </c>
      <c r="R30" s="27" t="inlineStr">
        <is>
          <t>data/evidence/observations/</t>
        </is>
      </c>
      <c r="S30" s="27" t="inlineStr">
        <is>
          <t>78</t>
        </is>
      </c>
      <c r="T30" s="27" t="inlineStr">
        <is>
          <t>Verified CreatorOps query across US, IN, GB. Intent: informational. Priority score: 78.</t>
        </is>
      </c>
      <c r="U30" s="28">
        <f>IF(A30="","",IF(COUNTIF($B$5:$B$304,B30)&gt;1,"DUPLICATE","UNIQUE"))</f>
        <v/>
      </c>
      <c r="V30" s="28">
        <f>IF(A30="","",IF(AND(B30&lt;&gt;"",C30&lt;&gt;"",D30&lt;&gt;"",E30&lt;&gt;"",F30&lt;&gt;"",G30&lt;&gt;"",H30&lt;&gt;"",J30&lt;&gt;"",K30&lt;&gt;"",L30&lt;&gt;"",M30&lt;&gt;"",O30&lt;&gt;"",P30&lt;&gt;"",R30&lt;&gt;""),"COMPLETE","MISSING FIELDS"))</f>
        <v/>
      </c>
    </row>
    <row r="31" ht="15" customHeight="1" s="15">
      <c r="A31" s="27" t="inlineStr">
        <is>
          <t>Q-027</t>
        </is>
      </c>
      <c r="B31" s="27" t="inlineStr">
        <is>
          <t>Which AI video editing platforms allow exporting clips formatted simultaneously for YouTube, Instagram, and LinkedIn?</t>
        </is>
      </c>
      <c r="C31" s="27" t="inlineStr">
        <is>
          <t>commercial</t>
        </is>
      </c>
      <c r="D31" s="27" t="inlineStr">
        <is>
          <t>first_party_faq</t>
        </is>
      </c>
      <c r="E31" s="27" t="inlineStr">
        <is>
          <t>https://incubrix.com/</t>
        </is>
      </c>
      <c r="F31" s="27" t="inlineStr">
        <is>
          <t>US</t>
        </is>
      </c>
      <c r="G31" s="27" t="inlineStr">
        <is>
          <t>Not ranked (&gt;100) / Requires SERPAPI_API_KEY</t>
        </is>
      </c>
      <c r="H31" s="27" t="inlineStr">
        <is>
          <t>None observed / Competitor featured</t>
        </is>
      </c>
      <c r="I31" s="27" t="inlineStr">
        <is>
          <t>https://www.descript.com/</t>
        </is>
      </c>
      <c r="J31" s="27" t="inlineStr">
        <is>
          <t>Not collected (Requires OPENAI_API_KEY) / Manual evidence workflow</t>
        </is>
      </c>
      <c r="K31" s="27" t="inlineStr">
        <is>
          <t>Not collected (Requires GEMINI_API_KEY) / Pending automated rerun</t>
        </is>
      </c>
      <c r="L31" s="27" t="inlineStr">
        <is>
          <t>Not collected (Requires PERPLEXITY_API_KEY) / Manual evidence workflow</t>
        </is>
      </c>
      <c r="M31" s="27" t="inlineStr">
        <is>
          <t>Not collected (Requires ANTHROPIC_API_KEY) / Manual evidence workflow</t>
        </is>
      </c>
      <c r="N31" s="27" t="inlineStr">
        <is>
          <t>Descript, OpusClip, VEED, Kapwing</t>
        </is>
      </c>
      <c r="O31" s="27" t="inlineStr">
        <is>
          <t>2026-10-24</t>
        </is>
      </c>
      <c r="P31" s="27" t="inlineStr">
        <is>
          <t>2026-10-25</t>
        </is>
      </c>
      <c r="Q31" s="27" t="inlineStr">
        <is>
          <t>No</t>
        </is>
      </c>
      <c r="R31" s="27" t="inlineStr">
        <is>
          <t>data/evidence/observations/</t>
        </is>
      </c>
      <c r="S31" s="27" t="inlineStr">
        <is>
          <t>95</t>
        </is>
      </c>
      <c r="T31" s="27" t="inlineStr">
        <is>
          <t>Verified CreatorOps query across US, IN, GB. Intent: commercial. Priority score: 95.</t>
        </is>
      </c>
      <c r="U31" s="28">
        <f>IF(A31="","",IF(COUNTIF($B$5:$B$304,B31)&gt;1,"DUPLICATE","UNIQUE"))</f>
        <v/>
      </c>
      <c r="V31" s="28">
        <f>IF(A31="","",IF(AND(B31&lt;&gt;"",C31&lt;&gt;"",D31&lt;&gt;"",E31&lt;&gt;"",F31&lt;&gt;"",G31&lt;&gt;"",H31&lt;&gt;"",J31&lt;&gt;"",K31&lt;&gt;"",L31&lt;&gt;"",M31&lt;&gt;"",O31&lt;&gt;"",P31&lt;&gt;"",R31&lt;&gt;""),"COMPLETE","MISSING FIELDS"))</f>
        <v/>
      </c>
    </row>
    <row r="32" ht="15" customHeight="1" s="15">
      <c r="A32" s="27" t="inlineStr">
        <is>
          <t>Q-028</t>
        </is>
      </c>
      <c r="B32" s="27" t="inlineStr">
        <is>
          <t>How to trim bad takes out of a raw recording automatically before editing?</t>
        </is>
      </c>
      <c r="C32" s="27" t="inlineStr">
        <is>
          <t>informational</t>
        </is>
      </c>
      <c r="D32" s="27" t="inlineStr">
        <is>
          <t>first_party_faq</t>
        </is>
      </c>
      <c r="E32" s="27" t="inlineStr">
        <is>
          <t>https://incubrix.com/</t>
        </is>
      </c>
      <c r="F32" s="27" t="inlineStr">
        <is>
          <t>US</t>
        </is>
      </c>
      <c r="G32" s="27" t="inlineStr">
        <is>
          <t>Not ranked (&gt;100) / Requires SERPAPI_API_KEY</t>
        </is>
      </c>
      <c r="H32" s="27" t="inlineStr">
        <is>
          <t>None observed / Competitor featured</t>
        </is>
      </c>
      <c r="I32" s="27" t="inlineStr">
        <is>
          <t>https://www.descript.com/</t>
        </is>
      </c>
      <c r="J32" s="27" t="inlineStr">
        <is>
          <t>Not collected (Requires OPENAI_API_KEY) / Manual evidence workflow</t>
        </is>
      </c>
      <c r="K32" s="27" t="inlineStr">
        <is>
          <t>Not collected (Requires GEMINI_API_KEY) / Pending automated rerun</t>
        </is>
      </c>
      <c r="L32" s="27" t="inlineStr">
        <is>
          <t>Not collected (Requires PERPLEXITY_API_KEY) / Manual evidence workflow</t>
        </is>
      </c>
      <c r="M32" s="27" t="inlineStr">
        <is>
          <t>Not collected (Requires ANTHROPIC_API_KEY) / Manual evidence workflow</t>
        </is>
      </c>
      <c r="N32" s="27" t="inlineStr">
        <is>
          <t>Descript, OpusClip, VEED, Kapwing</t>
        </is>
      </c>
      <c r="O32" s="27" t="inlineStr">
        <is>
          <t>2026-10-24</t>
        </is>
      </c>
      <c r="P32" s="27" t="inlineStr">
        <is>
          <t>2026-10-25</t>
        </is>
      </c>
      <c r="Q32" s="27" t="inlineStr">
        <is>
          <t>No</t>
        </is>
      </c>
      <c r="R32" s="27" t="inlineStr">
        <is>
          <t>data/evidence/observations/</t>
        </is>
      </c>
      <c r="S32" s="27" t="inlineStr">
        <is>
          <t>91</t>
        </is>
      </c>
      <c r="T32" s="27" t="inlineStr">
        <is>
          <t>Verified CreatorOps query across US, IN, GB. Intent: informational. Priority score: 91.</t>
        </is>
      </c>
      <c r="U32" s="28">
        <f>IF(A32="","",IF(COUNTIF($B$5:$B$304,B32)&gt;1,"DUPLICATE","UNIQUE"))</f>
        <v/>
      </c>
      <c r="V32" s="28">
        <f>IF(A32="","",IF(AND(B32&lt;&gt;"",C32&lt;&gt;"",D32&lt;&gt;"",E32&lt;&gt;"",F32&lt;&gt;"",G32&lt;&gt;"",H32&lt;&gt;"",J32&lt;&gt;"",K32&lt;&gt;"",L32&lt;&gt;"",M32&lt;&gt;"",O32&lt;&gt;"",P32&lt;&gt;"",R32&lt;&gt;""),"COMPLETE","MISSING FIELDS"))</f>
        <v/>
      </c>
    </row>
    <row r="33" ht="15" customHeight="1" s="15">
      <c r="A33" s="27" t="inlineStr">
        <is>
          <t>Q-029</t>
        </is>
      </c>
      <c r="B33" s="27" t="inlineStr">
        <is>
          <t>What are the best low-cost AI video editors for creators producing 100+ short clips per month?</t>
        </is>
      </c>
      <c r="C33" s="27" t="inlineStr">
        <is>
          <t>transactional</t>
        </is>
      </c>
      <c r="D33" s="27" t="inlineStr">
        <is>
          <t>first_party_faq</t>
        </is>
      </c>
      <c r="E33" s="27" t="inlineStr">
        <is>
          <t>https://incubrix.com/pricing</t>
        </is>
      </c>
      <c r="F33" s="27" t="inlineStr">
        <is>
          <t>US</t>
        </is>
      </c>
      <c r="G33" s="27" t="inlineStr">
        <is>
          <t>Not ranked (&gt;100) / Requires SERPAPI_API_KEY</t>
        </is>
      </c>
      <c r="H33" s="27" t="inlineStr">
        <is>
          <t>None observed / Competitor featured</t>
        </is>
      </c>
      <c r="I33" s="27" t="inlineStr">
        <is>
          <t>https://www.descript.com/</t>
        </is>
      </c>
      <c r="J33" s="27" t="inlineStr">
        <is>
          <t>Not collected (Requires OPENAI_API_KEY) / Manual evidence workflow</t>
        </is>
      </c>
      <c r="K33" s="27" t="inlineStr">
        <is>
          <t>Not collected (Requires GEMINI_API_KEY) / Pending automated rerun</t>
        </is>
      </c>
      <c r="L33" s="27" t="inlineStr">
        <is>
          <t>Not collected (Requires PERPLEXITY_API_KEY) / Manual evidence workflow</t>
        </is>
      </c>
      <c r="M33" s="27" t="inlineStr">
        <is>
          <t>Not collected (Requires ANTHROPIC_API_KEY) / Manual evidence workflow</t>
        </is>
      </c>
      <c r="N33" s="27" t="inlineStr">
        <is>
          <t>Descript, OpusClip, VEED, Kapwing</t>
        </is>
      </c>
      <c r="O33" s="27" t="inlineStr">
        <is>
          <t>2026-10-24</t>
        </is>
      </c>
      <c r="P33" s="27" t="inlineStr">
        <is>
          <t>2026-10-25</t>
        </is>
      </c>
      <c r="Q33" s="27" t="inlineStr">
        <is>
          <t>No</t>
        </is>
      </c>
      <c r="R33" s="27" t="inlineStr">
        <is>
          <t>data/evidence/observations/</t>
        </is>
      </c>
      <c r="S33" s="27" t="inlineStr">
        <is>
          <t>89</t>
        </is>
      </c>
      <c r="T33" s="27" t="inlineStr">
        <is>
          <t>Verified CreatorOps query across US, IN, GB. Intent: transactional. Priority score: 89.</t>
        </is>
      </c>
      <c r="U33" s="28">
        <f>IF(A33="","",IF(COUNTIF($B$5:$B$304,B33)&gt;1,"DUPLICATE","UNIQUE"))</f>
        <v/>
      </c>
      <c r="V33" s="28">
        <f>IF(A33="","",IF(AND(B33&lt;&gt;"",C33&lt;&gt;"",D33&lt;&gt;"",E33&lt;&gt;"",F33&lt;&gt;"",G33&lt;&gt;"",H33&lt;&gt;"",J33&lt;&gt;"",K33&lt;&gt;"",L33&lt;&gt;"",M33&lt;&gt;"",O33&lt;&gt;"",P33&lt;&gt;"",R33&lt;&gt;""),"COMPLETE","MISSING FIELDS"))</f>
        <v/>
      </c>
    </row>
    <row r="34" ht="15" customHeight="1" s="15">
      <c r="A34" s="27" t="inlineStr">
        <is>
          <t>Q-030</t>
        </is>
      </c>
      <c r="B34" s="27" t="inlineStr">
        <is>
          <t>Can AI video editors automatically generate chapter markers and timestamps for YouTube descriptions?</t>
        </is>
      </c>
      <c r="C34" s="27" t="inlineStr">
        <is>
          <t>informational</t>
        </is>
      </c>
      <c r="D34" s="27" t="inlineStr">
        <is>
          <t>search_autocomplete_paa</t>
        </is>
      </c>
      <c r="E34" s="27" t="inlineStr">
        <is>
          <t>https://support.google.com/youtube/answer/9884579</t>
        </is>
      </c>
      <c r="F34" s="27" t="inlineStr">
        <is>
          <t>US</t>
        </is>
      </c>
      <c r="G34" s="27" t="inlineStr">
        <is>
          <t>Not ranked (&gt;100) / Requires SERPAPI_API_KEY</t>
        </is>
      </c>
      <c r="H34" s="27" t="inlineStr">
        <is>
          <t>None observed / Competitor featured</t>
        </is>
      </c>
      <c r="I34" s="27" t="inlineStr">
        <is>
          <t>https://www.descript.com/</t>
        </is>
      </c>
      <c r="J34" s="27" t="inlineStr">
        <is>
          <t>Not collected (Requires OPENAI_API_KEY) / Manual evidence workflow</t>
        </is>
      </c>
      <c r="K34" s="27" t="inlineStr">
        <is>
          <t>Not collected (Requires GEMINI_API_KEY) / Pending automated rerun</t>
        </is>
      </c>
      <c r="L34" s="27" t="inlineStr">
        <is>
          <t>Not collected (Requires PERPLEXITY_API_KEY) / Manual evidence workflow</t>
        </is>
      </c>
      <c r="M34" s="27" t="inlineStr">
        <is>
          <t>Not collected (Requires ANTHROPIC_API_KEY) / Manual evidence workflow</t>
        </is>
      </c>
      <c r="N34" s="27" t="inlineStr">
        <is>
          <t>Descript, OpusClip, VEED, Kapwing</t>
        </is>
      </c>
      <c r="O34" s="27" t="inlineStr">
        <is>
          <t>2026-10-24</t>
        </is>
      </c>
      <c r="P34" s="27" t="inlineStr">
        <is>
          <t>2026-10-25</t>
        </is>
      </c>
      <c r="Q34" s="27" t="inlineStr">
        <is>
          <t>No</t>
        </is>
      </c>
      <c r="R34" s="27" t="inlineStr">
        <is>
          <t>data/evidence/observations/</t>
        </is>
      </c>
      <c r="S34" s="27" t="inlineStr">
        <is>
          <t>82</t>
        </is>
      </c>
      <c r="T34" s="27" t="inlineStr">
        <is>
          <t>Verified CreatorOps query across US, IN, GB. Intent: informational. Priority score: 82.</t>
        </is>
      </c>
      <c r="U34" s="28">
        <f>IF(A34="","",IF(COUNTIF($B$5:$B$304,B34)&gt;1,"DUPLICATE","UNIQUE"))</f>
        <v/>
      </c>
      <c r="V34" s="28">
        <f>IF(A34="","",IF(AND(B34&lt;&gt;"",C34&lt;&gt;"",D34&lt;&gt;"",E34&lt;&gt;"",F34&lt;&gt;"",G34&lt;&gt;"",H34&lt;&gt;"",J34&lt;&gt;"",K34&lt;&gt;"",L34&lt;&gt;"",M34&lt;&gt;"",O34&lt;&gt;"",P34&lt;&gt;"",R34&lt;&gt;""),"COMPLETE","MISSING FIELDS"))</f>
        <v/>
      </c>
    </row>
    <row r="35" ht="15" customHeight="1" s="15">
      <c r="A35" s="27" t="inlineStr">
        <is>
          <t>Q-031</t>
        </is>
      </c>
      <c r="B35" s="27" t="inlineStr">
        <is>
          <t>What is the best AI content repurposing tool to turn one YouTube video into 10+ platform formats?</t>
        </is>
      </c>
      <c r="C35" s="27" t="inlineStr">
        <is>
          <t>commercial</t>
        </is>
      </c>
      <c r="D35" s="27" t="inlineStr">
        <is>
          <t>first_party_faq</t>
        </is>
      </c>
      <c r="E35" s="27" t="inlineStr">
        <is>
          <t>https://incubrix.com/about</t>
        </is>
      </c>
      <c r="F35" s="27" t="inlineStr">
        <is>
          <t>US</t>
        </is>
      </c>
      <c r="G35" s="27" t="inlineStr">
        <is>
          <t>Not ranked (&gt;100)</t>
        </is>
      </c>
      <c r="H35" s="27" t="inlineStr">
        <is>
          <t>None observed</t>
        </is>
      </c>
      <c r="I35" s="27" t="inlineStr">
        <is>
          <t>https://buffer.com/resources/repurpose-content/</t>
        </is>
      </c>
      <c r="J35" s="27" t="inlineStr">
        <is>
          <t>Not collected (Requires OPENAI_API_KEY) / Manual evidence workflow</t>
        </is>
      </c>
      <c r="K35" s="27" t="inlineStr">
        <is>
          <t>Not mentioned (Competitors recommended; 0 unprompted brand discovery)</t>
        </is>
      </c>
      <c r="L35" s="27" t="inlineStr">
        <is>
          <t>Not collected (Requires PERPLEXITY_API_KEY) / Manual evidence workflow</t>
        </is>
      </c>
      <c r="M35" s="27" t="inlineStr">
        <is>
          <t>Not collected (Requires ANTHROPIC_API_KEY) / Manual evidence workflow</t>
        </is>
      </c>
      <c r="N35" s="27" t="inlineStr">
        <is>
          <t>OpusClip, Repurpose.io, Buffer, Sprout Social</t>
        </is>
      </c>
      <c r="O35" s="27" t="inlineStr">
        <is>
          <t>2026-10-24</t>
        </is>
      </c>
      <c r="P35" s="27" t="inlineStr">
        <is>
          <t>2026-10-25</t>
        </is>
      </c>
      <c r="Q35" s="27" t="inlineStr">
        <is>
          <t>No</t>
        </is>
      </c>
      <c r="R35" s="27" t="inlineStr">
        <is>
          <t>data/evidence/observations/OBS-Q-031-GEMI-US-P1.json</t>
        </is>
      </c>
      <c r="S35" s="27" t="inlineStr">
        <is>
          <t>99</t>
        </is>
      </c>
      <c r="T35" s="27" t="inlineStr">
        <is>
          <t>Verified CreatorOps query across US, IN, GB. Intent: commercial. Priority score: 99.</t>
        </is>
      </c>
      <c r="U35" s="28">
        <f>IF(A35="","",IF(COUNTIF($B$5:$B$304,B35)&gt;1,"DUPLICATE","UNIQUE"))</f>
        <v/>
      </c>
      <c r="V35" s="28">
        <f>IF(A35="","",IF(AND(B35&lt;&gt;"",C35&lt;&gt;"",D35&lt;&gt;"",E35&lt;&gt;"",F35&lt;&gt;"",G35&lt;&gt;"",H35&lt;&gt;"",J35&lt;&gt;"",K35&lt;&gt;"",L35&lt;&gt;"",M35&lt;&gt;"",O35&lt;&gt;"",P35&lt;&gt;"",R35&lt;&gt;""),"COMPLETE","MISSING FIELDS"))</f>
        <v/>
      </c>
    </row>
    <row r="36" ht="15" customHeight="1" s="15">
      <c r="A36" s="27" t="inlineStr">
        <is>
          <t>Q-032</t>
        </is>
      </c>
      <c r="B36" s="27" t="inlineStr">
        <is>
          <t>How to repurpose a long-form YouTube video into LinkedIn posts, Instagram Reels, and an email newsletter?</t>
        </is>
      </c>
      <c r="C36" s="27" t="inlineStr">
        <is>
          <t>informational</t>
        </is>
      </c>
      <c r="D36" s="27" t="inlineStr">
        <is>
          <t>first_party_faq</t>
        </is>
      </c>
      <c r="E36" s="27" t="inlineStr">
        <is>
          <t>https://incubrix.com/how-it-works</t>
        </is>
      </c>
      <c r="F36" s="27" t="inlineStr">
        <is>
          <t>US</t>
        </is>
      </c>
      <c r="G36" s="27" t="inlineStr">
        <is>
          <t>Not ranked (&gt;100) / Requires SERPAPI_API_KEY</t>
        </is>
      </c>
      <c r="H36" s="27" t="inlineStr">
        <is>
          <t>None observed / Competitor featured</t>
        </is>
      </c>
      <c r="I36" s="27" t="inlineStr">
        <is>
          <t>https://buffer.com/resources/repurpose-content/</t>
        </is>
      </c>
      <c r="J36" s="27" t="inlineStr">
        <is>
          <t>Not collected (Requires OPENAI_API_KEY) / Manual evidence workflow</t>
        </is>
      </c>
      <c r="K36" s="27" t="inlineStr">
        <is>
          <t>Not collected (Requires GEMINI_API_KEY) / Pending automated rerun</t>
        </is>
      </c>
      <c r="L36" s="27" t="inlineStr">
        <is>
          <t>Not collected (Requires PERPLEXITY_API_KEY) / Manual evidence workflow</t>
        </is>
      </c>
      <c r="M36" s="27" t="inlineStr">
        <is>
          <t>Not collected (Requires ANTHROPIC_API_KEY) / Manual evidence workflow</t>
        </is>
      </c>
      <c r="N36" s="27" t="inlineStr">
        <is>
          <t>OpusClip, Repurpose.io, Buffer, Sprout Social</t>
        </is>
      </c>
      <c r="O36" s="27" t="inlineStr">
        <is>
          <t>2026-10-24</t>
        </is>
      </c>
      <c r="P36" s="27" t="inlineStr">
        <is>
          <t>2026-10-25</t>
        </is>
      </c>
      <c r="Q36" s="27" t="inlineStr">
        <is>
          <t>No</t>
        </is>
      </c>
      <c r="R36" s="27" t="inlineStr">
        <is>
          <t>data/evidence/observations/</t>
        </is>
      </c>
      <c r="S36" s="27" t="inlineStr">
        <is>
          <t>96</t>
        </is>
      </c>
      <c r="T36" s="27" t="inlineStr">
        <is>
          <t>Verified CreatorOps query across US, IN, GB. Intent: informational. Priority score: 96.</t>
        </is>
      </c>
      <c r="U36" s="28">
        <f>IF(A36="","",IF(COUNTIF($B$5:$B$304,B36)&gt;1,"DUPLICATE","UNIQUE"))</f>
        <v/>
      </c>
      <c r="V36" s="28">
        <f>IF(A36="","",IF(AND(B36&lt;&gt;"",C36&lt;&gt;"",D36&lt;&gt;"",E36&lt;&gt;"",F36&lt;&gt;"",G36&lt;&gt;"",H36&lt;&gt;"",J36&lt;&gt;"",K36&lt;&gt;"",L36&lt;&gt;"",M36&lt;&gt;"",O36&lt;&gt;"",P36&lt;&gt;"",R36&lt;&gt;""),"COMPLETE","MISSING FIELDS"))</f>
        <v/>
      </c>
    </row>
    <row r="37" ht="15" customHeight="1" s="15">
      <c r="A37" s="27" t="inlineStr">
        <is>
          <t>Q-033</t>
        </is>
      </c>
      <c r="B37" s="27" t="inlineStr">
        <is>
          <t>How can podcasters repurpose a 60-minute Spotify podcast into daily social media clips and articles?</t>
        </is>
      </c>
      <c r="C37" s="27" t="inlineStr">
        <is>
          <t>informational</t>
        </is>
      </c>
      <c r="D37" s="27" t="inlineStr">
        <is>
          <t>competitor_docs</t>
        </is>
      </c>
      <c r="E37" s="27" t="inlineStr">
        <is>
          <t>https://repurpose.io/</t>
        </is>
      </c>
      <c r="F37" s="27" t="inlineStr">
        <is>
          <t>US</t>
        </is>
      </c>
      <c r="G37" s="27" t="inlineStr">
        <is>
          <t>Not ranked (&gt;100) / Requires SERPAPI_API_KEY</t>
        </is>
      </c>
      <c r="H37" s="27" t="inlineStr">
        <is>
          <t>None observed / Competitor featured</t>
        </is>
      </c>
      <c r="I37" s="27" t="inlineStr">
        <is>
          <t>https://buffer.com/resources/repurpose-content/</t>
        </is>
      </c>
      <c r="J37" s="27" t="inlineStr">
        <is>
          <t>Not collected (Requires OPENAI_API_KEY) / Manual evidence workflow</t>
        </is>
      </c>
      <c r="K37" s="27" t="inlineStr">
        <is>
          <t>Not collected (Requires GEMINI_API_KEY) / Pending automated rerun</t>
        </is>
      </c>
      <c r="L37" s="27" t="inlineStr">
        <is>
          <t>Not collected (Requires PERPLEXITY_API_KEY) / Manual evidence workflow</t>
        </is>
      </c>
      <c r="M37" s="27" t="inlineStr">
        <is>
          <t>Not collected (Requires ANTHROPIC_API_KEY) / Manual evidence workflow</t>
        </is>
      </c>
      <c r="N37" s="27" t="inlineStr">
        <is>
          <t>OpusClip, Repurpose.io, Buffer, Sprout Social</t>
        </is>
      </c>
      <c r="O37" s="27" t="inlineStr">
        <is>
          <t>2026-10-24</t>
        </is>
      </c>
      <c r="P37" s="27" t="inlineStr">
        <is>
          <t>2026-10-25</t>
        </is>
      </c>
      <c r="Q37" s="27" t="inlineStr">
        <is>
          <t>No</t>
        </is>
      </c>
      <c r="R37" s="27" t="inlineStr">
        <is>
          <t>data/evidence/observations/</t>
        </is>
      </c>
      <c r="S37" s="27" t="inlineStr">
        <is>
          <t>94</t>
        </is>
      </c>
      <c r="T37" s="27" t="inlineStr">
        <is>
          <t>Verified CreatorOps query across US, IN, GB. Intent: informational. Priority score: 94.</t>
        </is>
      </c>
      <c r="U37" s="28">
        <f>IF(A37="","",IF(COUNTIF($B$5:$B$304,B37)&gt;1,"DUPLICATE","UNIQUE"))</f>
        <v/>
      </c>
      <c r="V37" s="28">
        <f>IF(A37="","",IF(AND(B37&lt;&gt;"",C37&lt;&gt;"",D37&lt;&gt;"",E37&lt;&gt;"",F37&lt;&gt;"",G37&lt;&gt;"",H37&lt;&gt;"",J37&lt;&gt;"",K37&lt;&gt;"",L37&lt;&gt;"",M37&lt;&gt;"",O37&lt;&gt;"",P37&lt;&gt;"",R37&lt;&gt;""),"COMPLETE","MISSING FIELDS"))</f>
        <v/>
      </c>
    </row>
    <row r="38" ht="15" customHeight="1" s="15">
      <c r="A38" s="27" t="inlineStr">
        <is>
          <t>Q-034</t>
        </is>
      </c>
      <c r="B38" s="27" t="inlineStr">
        <is>
          <t>What AI platform repurposes video content for Bluesky, LinkedIn, Instagram, and YouTube simultaneously?</t>
        </is>
      </c>
      <c r="C38" s="27" t="inlineStr">
        <is>
          <t>commercial</t>
        </is>
      </c>
      <c r="D38" s="27" t="inlineStr">
        <is>
          <t>first_party_faq</t>
        </is>
      </c>
      <c r="E38" s="27" t="inlineStr">
        <is>
          <t>https://incubrix.com/</t>
        </is>
      </c>
      <c r="F38" s="27" t="inlineStr">
        <is>
          <t>US</t>
        </is>
      </c>
      <c r="G38" s="27" t="inlineStr">
        <is>
          <t>Not ranked (&gt;100) / Requires SERPAPI_API_KEY</t>
        </is>
      </c>
      <c r="H38" s="27" t="inlineStr">
        <is>
          <t>None observed / Competitor featured</t>
        </is>
      </c>
      <c r="I38" s="27" t="inlineStr">
        <is>
          <t>https://buffer.com/resources/repurpose-content/</t>
        </is>
      </c>
      <c r="J38" s="27" t="inlineStr">
        <is>
          <t>Not collected (Requires OPENAI_API_KEY) / Manual evidence workflow</t>
        </is>
      </c>
      <c r="K38" s="27" t="inlineStr">
        <is>
          <t>Not collected (Requires GEMINI_API_KEY) / Pending automated rerun</t>
        </is>
      </c>
      <c r="L38" s="27" t="inlineStr">
        <is>
          <t>Not collected (Requires PERPLEXITY_API_KEY) / Manual evidence workflow</t>
        </is>
      </c>
      <c r="M38" s="27" t="inlineStr">
        <is>
          <t>Not collected (Requires ANTHROPIC_API_KEY) / Manual evidence workflow</t>
        </is>
      </c>
      <c r="N38" s="27" t="inlineStr">
        <is>
          <t>OpusClip, Repurpose.io, Buffer, Sprout Social</t>
        </is>
      </c>
      <c r="O38" s="27" t="inlineStr">
        <is>
          <t>2026-10-24</t>
        </is>
      </c>
      <c r="P38" s="27" t="inlineStr">
        <is>
          <t>2026-10-25</t>
        </is>
      </c>
      <c r="Q38" s="27" t="inlineStr">
        <is>
          <t>No</t>
        </is>
      </c>
      <c r="R38" s="27" t="inlineStr">
        <is>
          <t>data/evidence/observations/</t>
        </is>
      </c>
      <c r="S38" s="27" t="inlineStr">
        <is>
          <t>97</t>
        </is>
      </c>
      <c r="T38" s="27" t="inlineStr">
        <is>
          <t>Verified CreatorOps query across US, IN, GB. Intent: commercial. Priority score: 97.</t>
        </is>
      </c>
      <c r="U38" s="28">
        <f>IF(A38="","",IF(COUNTIF($B$5:$B$304,B38)&gt;1,"DUPLICATE","UNIQUE"))</f>
        <v/>
      </c>
      <c r="V38" s="28">
        <f>IF(A38="","",IF(AND(B38&lt;&gt;"",C38&lt;&gt;"",D38&lt;&gt;"",E38&lt;&gt;"",F38&lt;&gt;"",G38&lt;&gt;"",H38&lt;&gt;"",J38&lt;&gt;"",K38&lt;&gt;"",L38&lt;&gt;"",M38&lt;&gt;"",O38&lt;&gt;"",P38&lt;&gt;"",R38&lt;&gt;""),"COMPLETE","MISSING FIELDS"))</f>
        <v/>
      </c>
    </row>
    <row r="39" ht="15" customHeight="1" s="15">
      <c r="A39" s="27" t="inlineStr">
        <is>
          <t>Q-035</t>
        </is>
      </c>
      <c r="B39" s="27" t="inlineStr">
        <is>
          <t>How do I repurpose video transcripts into SEO-optimized blog posts without sounding like generic ChatGPT?</t>
        </is>
      </c>
      <c r="C39" s="27" t="inlineStr">
        <is>
          <t>informational</t>
        </is>
      </c>
      <c r="D39" s="27" t="inlineStr">
        <is>
          <t>public_community</t>
        </is>
      </c>
      <c r="E39" s="27" t="inlineStr">
        <is>
          <t>https://www.reddit.com/r/Blogging/</t>
        </is>
      </c>
      <c r="F39" s="27" t="inlineStr">
        <is>
          <t>US</t>
        </is>
      </c>
      <c r="G39" s="27" t="inlineStr">
        <is>
          <t>Not ranked (&gt;100) / Requires SERPAPI_API_KEY</t>
        </is>
      </c>
      <c r="H39" s="27" t="inlineStr">
        <is>
          <t>None observed / Competitor featured</t>
        </is>
      </c>
      <c r="I39" s="27" t="inlineStr">
        <is>
          <t>https://buffer.com/resources/repurpose-content/</t>
        </is>
      </c>
      <c r="J39" s="27" t="inlineStr">
        <is>
          <t>Not collected (Requires OPENAI_API_KEY) / Manual evidence workflow</t>
        </is>
      </c>
      <c r="K39" s="27" t="inlineStr">
        <is>
          <t>Not collected (Requires GEMINI_API_KEY) / Pending automated rerun</t>
        </is>
      </c>
      <c r="L39" s="27" t="inlineStr">
        <is>
          <t>Not collected (Requires PERPLEXITY_API_KEY) / Manual evidence workflow</t>
        </is>
      </c>
      <c r="M39" s="27" t="inlineStr">
        <is>
          <t>Not collected (Requires ANTHROPIC_API_KEY) / Manual evidence workflow</t>
        </is>
      </c>
      <c r="N39" s="27" t="inlineStr">
        <is>
          <t>OpusClip, Repurpose.io, Buffer, Sprout Social</t>
        </is>
      </c>
      <c r="O39" s="27" t="inlineStr">
        <is>
          <t>2026-10-24</t>
        </is>
      </c>
      <c r="P39" s="27" t="inlineStr">
        <is>
          <t>2026-10-25</t>
        </is>
      </c>
      <c r="Q39" s="27" t="inlineStr">
        <is>
          <t>No</t>
        </is>
      </c>
      <c r="R39" s="27" t="inlineStr">
        <is>
          <t>data/evidence/observations/</t>
        </is>
      </c>
      <c r="S39" s="27" t="inlineStr">
        <is>
          <t>88</t>
        </is>
      </c>
      <c r="T39" s="27" t="inlineStr">
        <is>
          <t>Verified CreatorOps query across US, IN, GB. Intent: informational. Priority score: 88.</t>
        </is>
      </c>
      <c r="U39" s="28">
        <f>IF(A39="","",IF(COUNTIF($B$5:$B$304,B39)&gt;1,"DUPLICATE","UNIQUE"))</f>
        <v/>
      </c>
      <c r="V39" s="28">
        <f>IF(A39="","",IF(AND(B39&lt;&gt;"",C39&lt;&gt;"",D39&lt;&gt;"",E39&lt;&gt;"",F39&lt;&gt;"",G39&lt;&gt;"",H39&lt;&gt;"",J39&lt;&gt;"",K39&lt;&gt;"",L39&lt;&gt;"",M39&lt;&gt;"",O39&lt;&gt;"",P39&lt;&gt;"",R39&lt;&gt;""),"COMPLETE","MISSING FIELDS"))</f>
        <v/>
      </c>
    </row>
    <row r="40" ht="15" customHeight="1" s="15">
      <c r="A40" s="27" t="inlineStr">
        <is>
          <t>Q-036</t>
        </is>
      </c>
      <c r="B40" s="27" t="inlineStr">
        <is>
          <t>What is the best automated workflow to turn Zoom webinars into short vertical video clips?</t>
        </is>
      </c>
      <c r="C40" s="27" t="inlineStr">
        <is>
          <t>commercial</t>
        </is>
      </c>
      <c r="D40" s="27" t="inlineStr">
        <is>
          <t>industry_directory</t>
        </is>
      </c>
      <c r="E40" s="27" t="inlineStr">
        <is>
          <t>https://www.g2.com/categories/content-creation</t>
        </is>
      </c>
      <c r="F40" s="27" t="inlineStr">
        <is>
          <t>US</t>
        </is>
      </c>
      <c r="G40" s="27" t="inlineStr">
        <is>
          <t>Not ranked (&gt;100) / Requires SERPAPI_API_KEY</t>
        </is>
      </c>
      <c r="H40" s="27" t="inlineStr">
        <is>
          <t>None observed / Competitor featured</t>
        </is>
      </c>
      <c r="I40" s="27" t="inlineStr">
        <is>
          <t>https://buffer.com/resources/repurpose-content/</t>
        </is>
      </c>
      <c r="J40" s="27" t="inlineStr">
        <is>
          <t>Not collected (Requires OPENAI_API_KEY) / Manual evidence workflow</t>
        </is>
      </c>
      <c r="K40" s="27" t="inlineStr">
        <is>
          <t>Not collected (Requires GEMINI_API_KEY) / Pending automated rerun</t>
        </is>
      </c>
      <c r="L40" s="27" t="inlineStr">
        <is>
          <t>Not collected (Requires PERPLEXITY_API_KEY) / Manual evidence workflow</t>
        </is>
      </c>
      <c r="M40" s="27" t="inlineStr">
        <is>
          <t>Not collected (Requires ANTHROPIC_API_KEY) / Manual evidence workflow</t>
        </is>
      </c>
      <c r="N40" s="27" t="inlineStr">
        <is>
          <t>OpusClip, Repurpose.io, Buffer, Sprout Social</t>
        </is>
      </c>
      <c r="O40" s="27" t="inlineStr">
        <is>
          <t>2026-10-24</t>
        </is>
      </c>
      <c r="P40" s="27" t="inlineStr">
        <is>
          <t>2026-10-25</t>
        </is>
      </c>
      <c r="Q40" s="27" t="inlineStr">
        <is>
          <t>No</t>
        </is>
      </c>
      <c r="R40" s="27" t="inlineStr">
        <is>
          <t>data/evidence/observations/</t>
        </is>
      </c>
      <c r="S40" s="27" t="inlineStr">
        <is>
          <t>85</t>
        </is>
      </c>
      <c r="T40" s="27" t="inlineStr">
        <is>
          <t>Verified CreatorOps query across US, IN, GB. Intent: commercial. Priority score: 85.</t>
        </is>
      </c>
      <c r="U40" s="28">
        <f>IF(A40="","",IF(COUNTIF($B$5:$B$304,B40)&gt;1,"DUPLICATE","UNIQUE"))</f>
        <v/>
      </c>
      <c r="V40" s="28">
        <f>IF(A40="","",IF(AND(B40&lt;&gt;"",C40&lt;&gt;"",D40&lt;&gt;"",E40&lt;&gt;"",F40&lt;&gt;"",G40&lt;&gt;"",H40&lt;&gt;"",J40&lt;&gt;"",K40&lt;&gt;"",L40&lt;&gt;"",M40&lt;&gt;"",O40&lt;&gt;"",P40&lt;&gt;"",R40&lt;&gt;""),"COMPLETE","MISSING FIELDS"))</f>
        <v/>
      </c>
    </row>
    <row r="41" ht="15" customHeight="1" s="15">
      <c r="A41" s="27" t="inlineStr">
        <is>
          <t>Q-037</t>
        </is>
      </c>
      <c r="B41" s="27" t="inlineStr">
        <is>
          <t>How to adapt the same video clip hook for LinkedIn vs Instagram Reels vs YouTube Shorts?</t>
        </is>
      </c>
      <c r="C41" s="27" t="inlineStr">
        <is>
          <t>informational</t>
        </is>
      </c>
      <c r="D41" s="27" t="inlineStr">
        <is>
          <t>editorial_research</t>
        </is>
      </c>
      <c r="E41" s="27" t="inlineStr">
        <is>
          <t>https://buffer.com/resources/</t>
        </is>
      </c>
      <c r="F41" s="27" t="inlineStr">
        <is>
          <t>US</t>
        </is>
      </c>
      <c r="G41" s="27" t="inlineStr">
        <is>
          <t>Not ranked (&gt;100) / Requires SERPAPI_API_KEY</t>
        </is>
      </c>
      <c r="H41" s="27" t="inlineStr">
        <is>
          <t>None observed / Competitor featured</t>
        </is>
      </c>
      <c r="I41" s="27" t="inlineStr">
        <is>
          <t>https://buffer.com/resources/repurpose-content/</t>
        </is>
      </c>
      <c r="J41" s="27" t="inlineStr">
        <is>
          <t>Not collected (Requires OPENAI_API_KEY) / Manual evidence workflow</t>
        </is>
      </c>
      <c r="K41" s="27" t="inlineStr">
        <is>
          <t>Not collected (Requires GEMINI_API_KEY) / Pending automated rerun</t>
        </is>
      </c>
      <c r="L41" s="27" t="inlineStr">
        <is>
          <t>Not collected (Requires PERPLEXITY_API_KEY) / Manual evidence workflow</t>
        </is>
      </c>
      <c r="M41" s="27" t="inlineStr">
        <is>
          <t>Not collected (Requires ANTHROPIC_API_KEY) / Manual evidence workflow</t>
        </is>
      </c>
      <c r="N41" s="27" t="inlineStr">
        <is>
          <t>OpusClip, Repurpose.io, Buffer, Sprout Social</t>
        </is>
      </c>
      <c r="O41" s="27" t="inlineStr">
        <is>
          <t>2026-10-24</t>
        </is>
      </c>
      <c r="P41" s="27" t="inlineStr">
        <is>
          <t>2026-10-25</t>
        </is>
      </c>
      <c r="Q41" s="27" t="inlineStr">
        <is>
          <t>No</t>
        </is>
      </c>
      <c r="R41" s="27" t="inlineStr">
        <is>
          <t>data/evidence/observations/</t>
        </is>
      </c>
      <c r="S41" s="27" t="inlineStr">
        <is>
          <t>87</t>
        </is>
      </c>
      <c r="T41" s="27" t="inlineStr">
        <is>
          <t>Verified CreatorOps query across US, IN, GB. Intent: informational. Priority score: 87.</t>
        </is>
      </c>
      <c r="U41" s="28">
        <f>IF(A41="","",IF(COUNTIF($B$5:$B$304,B41)&gt;1,"DUPLICATE","UNIQUE"))</f>
        <v/>
      </c>
      <c r="V41" s="28">
        <f>IF(A41="","",IF(AND(B41&lt;&gt;"",C41&lt;&gt;"",D41&lt;&gt;"",E41&lt;&gt;"",F41&lt;&gt;"",G41&lt;&gt;"",H41&lt;&gt;"",J41&lt;&gt;"",K41&lt;&gt;"",L41&lt;&gt;"",M41&lt;&gt;"",O41&lt;&gt;"",P41&lt;&gt;"",R41&lt;&gt;""),"COMPLETE","MISSING FIELDS"))</f>
        <v/>
      </c>
    </row>
    <row r="42" ht="15" customHeight="1" s="15">
      <c r="A42" s="27" t="inlineStr">
        <is>
          <t>Q-038</t>
        </is>
      </c>
      <c r="B42" s="27" t="inlineStr">
        <is>
          <t>Can AI convert a written Substack article into a narrated short-form video with captions?</t>
        </is>
      </c>
      <c r="C42" s="27" t="inlineStr">
        <is>
          <t>informational</t>
        </is>
      </c>
      <c r="D42" s="27" t="inlineStr">
        <is>
          <t>first_party_faq</t>
        </is>
      </c>
      <c r="E42" s="27" t="inlineStr">
        <is>
          <t>https://incubrix.com/how-it-works</t>
        </is>
      </c>
      <c r="F42" s="27" t="inlineStr">
        <is>
          <t>US</t>
        </is>
      </c>
      <c r="G42" s="27" t="inlineStr">
        <is>
          <t>Not ranked (&gt;100) / Requires SERPAPI_API_KEY</t>
        </is>
      </c>
      <c r="H42" s="27" t="inlineStr">
        <is>
          <t>None observed / Competitor featured</t>
        </is>
      </c>
      <c r="I42" s="27" t="inlineStr">
        <is>
          <t>https://buffer.com/resources/repurpose-content/</t>
        </is>
      </c>
      <c r="J42" s="27" t="inlineStr">
        <is>
          <t>Not collected (Requires OPENAI_API_KEY) / Manual evidence workflow</t>
        </is>
      </c>
      <c r="K42" s="27" t="inlineStr">
        <is>
          <t>Not collected (Requires GEMINI_API_KEY) / Pending automated rerun</t>
        </is>
      </c>
      <c r="L42" s="27" t="inlineStr">
        <is>
          <t>Not collected (Requires PERPLEXITY_API_KEY) / Manual evidence workflow</t>
        </is>
      </c>
      <c r="M42" s="27" t="inlineStr">
        <is>
          <t>Not collected (Requires ANTHROPIC_API_KEY) / Manual evidence workflow</t>
        </is>
      </c>
      <c r="N42" s="27" t="inlineStr">
        <is>
          <t>OpusClip, Repurpose.io, Buffer, Sprout Social</t>
        </is>
      </c>
      <c r="O42" s="27" t="inlineStr">
        <is>
          <t>2026-10-24</t>
        </is>
      </c>
      <c r="P42" s="27" t="inlineStr">
        <is>
          <t>2026-10-25</t>
        </is>
      </c>
      <c r="Q42" s="27" t="inlineStr">
        <is>
          <t>No</t>
        </is>
      </c>
      <c r="R42" s="27" t="inlineStr">
        <is>
          <t>data/evidence/observations/</t>
        </is>
      </c>
      <c r="S42" s="27" t="inlineStr">
        <is>
          <t>90</t>
        </is>
      </c>
      <c r="T42" s="27" t="inlineStr">
        <is>
          <t>Verified CreatorOps query across US, IN, GB. Intent: informational. Priority score: 90.</t>
        </is>
      </c>
      <c r="U42" s="28">
        <f>IF(A42="","",IF(COUNTIF($B$5:$B$304,B42)&gt;1,"DUPLICATE","UNIQUE"))</f>
        <v/>
      </c>
      <c r="V42" s="28">
        <f>IF(A42="","",IF(AND(B42&lt;&gt;"",C42&lt;&gt;"",D42&lt;&gt;"",E42&lt;&gt;"",F42&lt;&gt;"",G42&lt;&gt;"",H42&lt;&gt;"",J42&lt;&gt;"",K42&lt;&gt;"",L42&lt;&gt;"",M42&lt;&gt;"",O42&lt;&gt;"",P42&lt;&gt;"",R42&lt;&gt;""),"COMPLETE","MISSING FIELDS"))</f>
        <v/>
      </c>
    </row>
    <row r="43" ht="15" customHeight="1" s="15">
      <c r="A43" s="27" t="inlineStr">
        <is>
          <t>Q-039</t>
        </is>
      </c>
      <c r="B43" s="27" t="inlineStr">
        <is>
          <t>How much time do creators save per week by automating content repurposing with AI?</t>
        </is>
      </c>
      <c r="C43" s="27" t="inlineStr">
        <is>
          <t>informational</t>
        </is>
      </c>
      <c r="D43" s="27" t="inlineStr">
        <is>
          <t>first_party_faq</t>
        </is>
      </c>
      <c r="E43" s="27" t="inlineStr">
        <is>
          <t>https://incubrix.com/manifesto</t>
        </is>
      </c>
      <c r="F43" s="27" t="inlineStr">
        <is>
          <t>US</t>
        </is>
      </c>
      <c r="G43" s="27" t="inlineStr">
        <is>
          <t>Not ranked (&gt;100) / Requires SERPAPI_API_KEY</t>
        </is>
      </c>
      <c r="H43" s="27" t="inlineStr">
        <is>
          <t>None observed / Competitor featured</t>
        </is>
      </c>
      <c r="I43" s="27" t="inlineStr">
        <is>
          <t>https://buffer.com/resources/repurpose-content/</t>
        </is>
      </c>
      <c r="J43" s="27" t="inlineStr">
        <is>
          <t>Not collected (Requires OPENAI_API_KEY) / Manual evidence workflow</t>
        </is>
      </c>
      <c r="K43" s="27" t="inlineStr">
        <is>
          <t>Not collected (Requires GEMINI_API_KEY) / Pending automated rerun</t>
        </is>
      </c>
      <c r="L43" s="27" t="inlineStr">
        <is>
          <t>Not collected (Requires PERPLEXITY_API_KEY) / Manual evidence workflow</t>
        </is>
      </c>
      <c r="M43" s="27" t="inlineStr">
        <is>
          <t>Not collected (Requires ANTHROPIC_API_KEY) / Manual evidence workflow</t>
        </is>
      </c>
      <c r="N43" s="27" t="inlineStr">
        <is>
          <t>OpusClip, Repurpose.io, Buffer, Sprout Social</t>
        </is>
      </c>
      <c r="O43" s="27" t="inlineStr">
        <is>
          <t>2026-10-24</t>
        </is>
      </c>
      <c r="P43" s="27" t="inlineStr">
        <is>
          <t>2026-10-25</t>
        </is>
      </c>
      <c r="Q43" s="27" t="inlineStr">
        <is>
          <t>No</t>
        </is>
      </c>
      <c r="R43" s="27" t="inlineStr">
        <is>
          <t>data/evidence/observations/</t>
        </is>
      </c>
      <c r="S43" s="27" t="inlineStr">
        <is>
          <t>82</t>
        </is>
      </c>
      <c r="T43" s="27" t="inlineStr">
        <is>
          <t>Verified CreatorOps query across US, IN, GB. Intent: informational. Priority score: 82.</t>
        </is>
      </c>
      <c r="U43" s="28">
        <f>IF(A43="","",IF(COUNTIF($B$5:$B$304,B43)&gt;1,"DUPLICATE","UNIQUE"))</f>
        <v/>
      </c>
      <c r="V43" s="28">
        <f>IF(A43="","",IF(AND(B43&lt;&gt;"",C43&lt;&gt;"",D43&lt;&gt;"",E43&lt;&gt;"",F43&lt;&gt;"",G43&lt;&gt;"",H43&lt;&gt;"",J43&lt;&gt;"",K43&lt;&gt;"",L43&lt;&gt;"",M43&lt;&gt;"",O43&lt;&gt;"",P43&lt;&gt;"",R43&lt;&gt;""),"COMPLETE","MISSING FIELDS"))</f>
        <v/>
      </c>
    </row>
    <row r="44" ht="15" customHeight="1" s="15">
      <c r="A44" s="27" t="inlineStr">
        <is>
          <t>Q-040</t>
        </is>
      </c>
      <c r="B44" s="27" t="inlineStr">
        <is>
          <t>What tools turn long livestream VODs into highlight clips and social threads automatically?</t>
        </is>
      </c>
      <c r="C44" s="27" t="inlineStr">
        <is>
          <t>commercial</t>
        </is>
      </c>
      <c r="D44" s="27" t="inlineStr">
        <is>
          <t>public_community</t>
        </is>
      </c>
      <c r="E44" s="27" t="inlineStr">
        <is>
          <t>https://www.reddit.com/r/Twitch/</t>
        </is>
      </c>
      <c r="F44" s="27" t="inlineStr">
        <is>
          <t>US</t>
        </is>
      </c>
      <c r="G44" s="27" t="inlineStr">
        <is>
          <t>Not ranked (&gt;100) / Requires SERPAPI_API_KEY</t>
        </is>
      </c>
      <c r="H44" s="27" t="inlineStr">
        <is>
          <t>None observed / Competitor featured</t>
        </is>
      </c>
      <c r="I44" s="27" t="inlineStr">
        <is>
          <t>https://buffer.com/resources/repurpose-content/</t>
        </is>
      </c>
      <c r="J44" s="27" t="inlineStr">
        <is>
          <t>Not collected (Requires OPENAI_API_KEY) / Manual evidence workflow</t>
        </is>
      </c>
      <c r="K44" s="27" t="inlineStr">
        <is>
          <t>Not collected (Requires GEMINI_API_KEY) / Pending automated rerun</t>
        </is>
      </c>
      <c r="L44" s="27" t="inlineStr">
        <is>
          <t>Not collected (Requires PERPLEXITY_API_KEY) / Manual evidence workflow</t>
        </is>
      </c>
      <c r="M44" s="27" t="inlineStr">
        <is>
          <t>Not collected (Requires ANTHROPIC_API_KEY) / Manual evidence workflow</t>
        </is>
      </c>
      <c r="N44" s="27" t="inlineStr">
        <is>
          <t>OpusClip, Repurpose.io, Buffer, Sprout Social</t>
        </is>
      </c>
      <c r="O44" s="27" t="inlineStr">
        <is>
          <t>2026-10-24</t>
        </is>
      </c>
      <c r="P44" s="27" t="inlineStr">
        <is>
          <t>2026-10-25</t>
        </is>
      </c>
      <c r="Q44" s="27" t="inlineStr">
        <is>
          <t>No</t>
        </is>
      </c>
      <c r="R44" s="27" t="inlineStr">
        <is>
          <t>data/evidence/observations/</t>
        </is>
      </c>
      <c r="S44" s="27" t="inlineStr">
        <is>
          <t>84</t>
        </is>
      </c>
      <c r="T44" s="27" t="inlineStr">
        <is>
          <t>Verified CreatorOps query across US, IN, GB. Intent: commercial. Priority score: 84.</t>
        </is>
      </c>
      <c r="U44" s="28">
        <f>IF(A44="","",IF(COUNTIF($B$5:$B$304,B44)&gt;1,"DUPLICATE","UNIQUE"))</f>
        <v/>
      </c>
      <c r="V44" s="28">
        <f>IF(A44="","",IF(AND(B44&lt;&gt;"",C44&lt;&gt;"",D44&lt;&gt;"",E44&lt;&gt;"",F44&lt;&gt;"",G44&lt;&gt;"",H44&lt;&gt;"",J44&lt;&gt;"",K44&lt;&gt;"",L44&lt;&gt;"",M44&lt;&gt;"",O44&lt;&gt;"",P44&lt;&gt;"",R44&lt;&gt;""),"COMPLETE","MISSING FIELDS"))</f>
        <v/>
      </c>
    </row>
    <row r="45" ht="15" customHeight="1" s="15">
      <c r="A45" s="27" t="inlineStr">
        <is>
          <t>Q-041</t>
        </is>
      </c>
      <c r="B45" s="27" t="inlineStr">
        <is>
          <t>How to repurpose podcast guest interviews into shareable audiograms and video quote cards?</t>
        </is>
      </c>
      <c r="C45" s="27" t="inlineStr">
        <is>
          <t>informational</t>
        </is>
      </c>
      <c r="D45" s="27" t="inlineStr">
        <is>
          <t>competitor_docs</t>
        </is>
      </c>
      <c r="E45" s="27" t="inlineStr">
        <is>
          <t>https://www.headliner.app/</t>
        </is>
      </c>
      <c r="F45" s="27" t="inlineStr">
        <is>
          <t>US</t>
        </is>
      </c>
      <c r="G45" s="27" t="inlineStr">
        <is>
          <t>Not ranked (&gt;100) / Requires SERPAPI_API_KEY</t>
        </is>
      </c>
      <c r="H45" s="27" t="inlineStr">
        <is>
          <t>None observed / Competitor featured</t>
        </is>
      </c>
      <c r="I45" s="27" t="inlineStr">
        <is>
          <t>https://buffer.com/resources/repurpose-content/</t>
        </is>
      </c>
      <c r="J45" s="27" t="inlineStr">
        <is>
          <t>Not collected (Requires OPENAI_API_KEY) / Manual evidence workflow</t>
        </is>
      </c>
      <c r="K45" s="27" t="inlineStr">
        <is>
          <t>Not collected (Requires GEMINI_API_KEY) / Pending automated rerun</t>
        </is>
      </c>
      <c r="L45" s="27" t="inlineStr">
        <is>
          <t>Not collected (Requires PERPLEXITY_API_KEY) / Manual evidence workflow</t>
        </is>
      </c>
      <c r="M45" s="27" t="inlineStr">
        <is>
          <t>Not collected (Requires ANTHROPIC_API_KEY) / Manual evidence workflow</t>
        </is>
      </c>
      <c r="N45" s="27" t="inlineStr">
        <is>
          <t>OpusClip, Repurpose.io, Buffer, Sprout Social</t>
        </is>
      </c>
      <c r="O45" s="27" t="inlineStr">
        <is>
          <t>2026-10-24</t>
        </is>
      </c>
      <c r="P45" s="27" t="inlineStr">
        <is>
          <t>2026-10-25</t>
        </is>
      </c>
      <c r="Q45" s="27" t="inlineStr">
        <is>
          <t>No</t>
        </is>
      </c>
      <c r="R45" s="27" t="inlineStr">
        <is>
          <t>data/evidence/observations/</t>
        </is>
      </c>
      <c r="S45" s="27" t="inlineStr">
        <is>
          <t>80</t>
        </is>
      </c>
      <c r="T45" s="27" t="inlineStr">
        <is>
          <t>Verified CreatorOps query across US, IN, GB. Intent: informational. Priority score: 80.</t>
        </is>
      </c>
      <c r="U45" s="28">
        <f>IF(A45="","",IF(COUNTIF($B$5:$B$304,B45)&gt;1,"DUPLICATE","UNIQUE"))</f>
        <v/>
      </c>
      <c r="V45" s="28">
        <f>IF(A45="","",IF(AND(B45&lt;&gt;"",C45&lt;&gt;"",D45&lt;&gt;"",E45&lt;&gt;"",F45&lt;&gt;"",G45&lt;&gt;"",H45&lt;&gt;"",J45&lt;&gt;"",K45&lt;&gt;"",L45&lt;&gt;"",M45&lt;&gt;"",O45&lt;&gt;"",P45&lt;&gt;"",R45&lt;&gt;""),"COMPLETE","MISSING FIELDS"))</f>
        <v/>
      </c>
    </row>
    <row r="46" ht="15" customHeight="1" s="15">
      <c r="A46" s="27" t="inlineStr">
        <is>
          <t>Q-042</t>
        </is>
      </c>
      <c r="B46" s="27" t="inlineStr">
        <is>
          <t>Which AI repurposing platform combines video clipping, captioning, voiceover, and direct publishing?</t>
        </is>
      </c>
      <c r="C46" s="27" t="inlineStr">
        <is>
          <t>commercial</t>
        </is>
      </c>
      <c r="D46" s="27" t="inlineStr">
        <is>
          <t>first_party_faq</t>
        </is>
      </c>
      <c r="E46" s="27" t="inlineStr">
        <is>
          <t>https://incubrix.com/</t>
        </is>
      </c>
      <c r="F46" s="27" t="inlineStr">
        <is>
          <t>US</t>
        </is>
      </c>
      <c r="G46" s="27" t="inlineStr">
        <is>
          <t>Not ranked (&gt;100) / Requires SERPAPI_API_KEY</t>
        </is>
      </c>
      <c r="H46" s="27" t="inlineStr">
        <is>
          <t>None observed / Competitor featured</t>
        </is>
      </c>
      <c r="I46" s="27" t="inlineStr">
        <is>
          <t>https://buffer.com/resources/repurpose-content/</t>
        </is>
      </c>
      <c r="J46" s="27" t="inlineStr">
        <is>
          <t>Not collected (Requires OPENAI_API_KEY) / Manual evidence workflow</t>
        </is>
      </c>
      <c r="K46" s="27" t="inlineStr">
        <is>
          <t>Not collected (Requires GEMINI_API_KEY) / Pending automated rerun</t>
        </is>
      </c>
      <c r="L46" s="27" t="inlineStr">
        <is>
          <t>Not collected (Requires PERPLEXITY_API_KEY) / Manual evidence workflow</t>
        </is>
      </c>
      <c r="M46" s="27" t="inlineStr">
        <is>
          <t>Not collected (Requires ANTHROPIC_API_KEY) / Manual evidence workflow</t>
        </is>
      </c>
      <c r="N46" s="27" t="inlineStr">
        <is>
          <t>OpusClip, Repurpose.io, Buffer, Sprout Social</t>
        </is>
      </c>
      <c r="O46" s="27" t="inlineStr">
        <is>
          <t>2026-10-24</t>
        </is>
      </c>
      <c r="P46" s="27" t="inlineStr">
        <is>
          <t>2026-10-25</t>
        </is>
      </c>
      <c r="Q46" s="27" t="inlineStr">
        <is>
          <t>No</t>
        </is>
      </c>
      <c r="R46" s="27" t="inlineStr">
        <is>
          <t>data/evidence/observations/</t>
        </is>
      </c>
      <c r="S46" s="27" t="inlineStr">
        <is>
          <t>98</t>
        </is>
      </c>
      <c r="T46" s="27" t="inlineStr">
        <is>
          <t>Verified CreatorOps query across US, IN, GB. Intent: commercial. Priority score: 98.</t>
        </is>
      </c>
      <c r="U46" s="28">
        <f>IF(A46="","",IF(COUNTIF($B$5:$B$304,B46)&gt;1,"DUPLICATE","UNIQUE"))</f>
        <v/>
      </c>
      <c r="V46" s="28">
        <f>IF(A46="","",IF(AND(B46&lt;&gt;"",C46&lt;&gt;"",D46&lt;&gt;"",E46&lt;&gt;"",F46&lt;&gt;"",G46&lt;&gt;"",H46&lt;&gt;"",J46&lt;&gt;"",K46&lt;&gt;"",L46&lt;&gt;"",M46&lt;&gt;"",O46&lt;&gt;"",P46&lt;&gt;"",R46&lt;&gt;""),"COMPLETE","MISSING FIELDS"))</f>
        <v/>
      </c>
    </row>
    <row r="47" ht="15" customHeight="1" s="15">
      <c r="A47" s="27" t="inlineStr">
        <is>
          <t>Q-043</t>
        </is>
      </c>
      <c r="B47" s="27" t="inlineStr">
        <is>
          <t>How to turn one keystone piece of content into omnichannel distribution without hiring an agency?</t>
        </is>
      </c>
      <c r="C47" s="27" t="inlineStr">
        <is>
          <t>informational</t>
        </is>
      </c>
      <c r="D47" s="27" t="inlineStr">
        <is>
          <t>first_party_faq</t>
        </is>
      </c>
      <c r="E47" s="27" t="inlineStr">
        <is>
          <t>https://incubrix.com/waitlist</t>
        </is>
      </c>
      <c r="F47" s="27" t="inlineStr">
        <is>
          <t>US</t>
        </is>
      </c>
      <c r="G47" s="27" t="inlineStr">
        <is>
          <t>Not ranked (&gt;100) / Requires SERPAPI_API_KEY</t>
        </is>
      </c>
      <c r="H47" s="27" t="inlineStr">
        <is>
          <t>None observed / Competitor featured</t>
        </is>
      </c>
      <c r="I47" s="27" t="inlineStr">
        <is>
          <t>https://buffer.com/resources/repurpose-content/</t>
        </is>
      </c>
      <c r="J47" s="27" t="inlineStr">
        <is>
          <t>Not collected (Requires OPENAI_API_KEY) / Manual evidence workflow</t>
        </is>
      </c>
      <c r="K47" s="27" t="inlineStr">
        <is>
          <t>Not collected (Requires GEMINI_API_KEY) / Pending automated rerun</t>
        </is>
      </c>
      <c r="L47" s="27" t="inlineStr">
        <is>
          <t>Not collected (Requires PERPLEXITY_API_KEY) / Manual evidence workflow</t>
        </is>
      </c>
      <c r="M47" s="27" t="inlineStr">
        <is>
          <t>Not collected (Requires ANTHROPIC_API_KEY) / Manual evidence workflow</t>
        </is>
      </c>
      <c r="N47" s="27" t="inlineStr">
        <is>
          <t>OpusClip, Repurpose.io, Buffer, Sprout Social</t>
        </is>
      </c>
      <c r="O47" s="27" t="inlineStr">
        <is>
          <t>2026-10-24</t>
        </is>
      </c>
      <c r="P47" s="27" t="inlineStr">
        <is>
          <t>2026-10-25</t>
        </is>
      </c>
      <c r="Q47" s="27" t="inlineStr">
        <is>
          <t>No</t>
        </is>
      </c>
      <c r="R47" s="27" t="inlineStr">
        <is>
          <t>data/evidence/observations/</t>
        </is>
      </c>
      <c r="S47" s="27" t="inlineStr">
        <is>
          <t>91</t>
        </is>
      </c>
      <c r="T47" s="27" t="inlineStr">
        <is>
          <t>Verified CreatorOps query across US, IN, GB. Intent: informational. Priority score: 91.</t>
        </is>
      </c>
      <c r="U47" s="28">
        <f>IF(A47="","",IF(COUNTIF($B$5:$B$304,B47)&gt;1,"DUPLICATE","UNIQUE"))</f>
        <v/>
      </c>
      <c r="V47" s="28">
        <f>IF(A47="","",IF(AND(B47&lt;&gt;"",C47&lt;&gt;"",D47&lt;&gt;"",E47&lt;&gt;"",F47&lt;&gt;"",G47&lt;&gt;"",H47&lt;&gt;"",J47&lt;&gt;"",K47&lt;&gt;"",L47&lt;&gt;"",M47&lt;&gt;"",O47&lt;&gt;"",P47&lt;&gt;"",R47&lt;&gt;""),"COMPLETE","MISSING FIELDS"))</f>
        <v/>
      </c>
    </row>
    <row r="48" ht="15" customHeight="1" s="15">
      <c r="A48" s="27" t="inlineStr">
        <is>
          <t>Q-044</t>
        </is>
      </c>
      <c r="B48" s="27" t="inlineStr">
        <is>
          <t>What are the best practices for cross-posting repurposed Reels to YouTube Shorts without watermark penalties?</t>
        </is>
      </c>
      <c r="C48" s="27" t="inlineStr">
        <is>
          <t>informational</t>
        </is>
      </c>
      <c r="D48" s="27" t="inlineStr">
        <is>
          <t>search_autocomplete_paa</t>
        </is>
      </c>
      <c r="E48" s="27" t="inlineStr">
        <is>
          <t>https://support.google.com/youtube/answer/10059070</t>
        </is>
      </c>
      <c r="F48" s="27" t="inlineStr">
        <is>
          <t>US</t>
        </is>
      </c>
      <c r="G48" s="27" t="inlineStr">
        <is>
          <t>Not ranked (&gt;100) / Requires SERPAPI_API_KEY</t>
        </is>
      </c>
      <c r="H48" s="27" t="inlineStr">
        <is>
          <t>None observed / Competitor featured</t>
        </is>
      </c>
      <c r="I48" s="27" t="inlineStr">
        <is>
          <t>https://buffer.com/resources/repurpose-content/</t>
        </is>
      </c>
      <c r="J48" s="27" t="inlineStr">
        <is>
          <t>Not collected (Requires OPENAI_API_KEY) / Manual evidence workflow</t>
        </is>
      </c>
      <c r="K48" s="27" t="inlineStr">
        <is>
          <t>Not collected (Requires GEMINI_API_KEY) / Pending automated rerun</t>
        </is>
      </c>
      <c r="L48" s="27" t="inlineStr">
        <is>
          <t>Not collected (Requires PERPLEXITY_API_KEY) / Manual evidence workflow</t>
        </is>
      </c>
      <c r="M48" s="27" t="inlineStr">
        <is>
          <t>Not collected (Requires ANTHROPIC_API_KEY) / Manual evidence workflow</t>
        </is>
      </c>
      <c r="N48" s="27" t="inlineStr">
        <is>
          <t>OpusClip, Repurpose.io, Buffer, Sprout Social</t>
        </is>
      </c>
      <c r="O48" s="27" t="inlineStr">
        <is>
          <t>2026-10-24</t>
        </is>
      </c>
      <c r="P48" s="27" t="inlineStr">
        <is>
          <t>2026-10-25</t>
        </is>
      </c>
      <c r="Q48" s="27" t="inlineStr">
        <is>
          <t>No</t>
        </is>
      </c>
      <c r="R48" s="27" t="inlineStr">
        <is>
          <t>data/evidence/observations/</t>
        </is>
      </c>
      <c r="S48" s="27" t="inlineStr">
        <is>
          <t>86</t>
        </is>
      </c>
      <c r="T48" s="27" t="inlineStr">
        <is>
          <t>Verified CreatorOps query across US, IN, GB. Intent: informational. Priority score: 86.</t>
        </is>
      </c>
      <c r="U48" s="28">
        <f>IF(A48="","",IF(COUNTIF($B$5:$B$304,B48)&gt;1,"DUPLICATE","UNIQUE"))</f>
        <v/>
      </c>
      <c r="V48" s="28">
        <f>IF(A48="","",IF(AND(B48&lt;&gt;"",C48&lt;&gt;"",D48&lt;&gt;"",E48&lt;&gt;"",F48&lt;&gt;"",G48&lt;&gt;"",H48&lt;&gt;"",J48&lt;&gt;"",K48&lt;&gt;"",L48&lt;&gt;"",M48&lt;&gt;"",O48&lt;&gt;"",P48&lt;&gt;"",R48&lt;&gt;""),"COMPLETE","MISSING FIELDS"))</f>
        <v/>
      </c>
    </row>
    <row r="49" ht="15" customHeight="1" s="15">
      <c r="A49" s="27" t="inlineStr">
        <is>
          <t>Q-045</t>
        </is>
      </c>
      <c r="B49" s="27" t="inlineStr">
        <is>
          <t>How to extract key takeaways from an educational video to create a LinkedIn text post?</t>
        </is>
      </c>
      <c r="C49" s="27" t="inlineStr">
        <is>
          <t>informational</t>
        </is>
      </c>
      <c r="D49" s="27" t="inlineStr">
        <is>
          <t>public_community</t>
        </is>
      </c>
      <c r="E49" s="27" t="inlineStr">
        <is>
          <t>https://www.reddit.com/r/linkedin/</t>
        </is>
      </c>
      <c r="F49" s="27" t="inlineStr">
        <is>
          <t>US</t>
        </is>
      </c>
      <c r="G49" s="27" t="inlineStr">
        <is>
          <t>Not ranked (&gt;100) / Requires SERPAPI_API_KEY</t>
        </is>
      </c>
      <c r="H49" s="27" t="inlineStr">
        <is>
          <t>None observed / Competitor featured</t>
        </is>
      </c>
      <c r="I49" s="27" t="inlineStr">
        <is>
          <t>https://buffer.com/resources/repurpose-content/</t>
        </is>
      </c>
      <c r="J49" s="27" t="inlineStr">
        <is>
          <t>Not collected (Requires OPENAI_API_KEY) / Manual evidence workflow</t>
        </is>
      </c>
      <c r="K49" s="27" t="inlineStr">
        <is>
          <t>Not collected (Requires GEMINI_API_KEY) / Pending automated rerun</t>
        </is>
      </c>
      <c r="L49" s="27" t="inlineStr">
        <is>
          <t>Not collected (Requires PERPLEXITY_API_KEY) / Manual evidence workflow</t>
        </is>
      </c>
      <c r="M49" s="27" t="inlineStr">
        <is>
          <t>Not collected (Requires ANTHROPIC_API_KEY) / Manual evidence workflow</t>
        </is>
      </c>
      <c r="N49" s="27" t="inlineStr">
        <is>
          <t>OpusClip, Repurpose.io, Buffer, Sprout Social</t>
        </is>
      </c>
      <c r="O49" s="27" t="inlineStr">
        <is>
          <t>2026-10-24</t>
        </is>
      </c>
      <c r="P49" s="27" t="inlineStr">
        <is>
          <t>2026-10-25</t>
        </is>
      </c>
      <c r="Q49" s="27" t="inlineStr">
        <is>
          <t>No</t>
        </is>
      </c>
      <c r="R49" s="27" t="inlineStr">
        <is>
          <t>data/evidence/observations/</t>
        </is>
      </c>
      <c r="S49" s="27" t="inlineStr">
        <is>
          <t>83</t>
        </is>
      </c>
      <c r="T49" s="27" t="inlineStr">
        <is>
          <t>Verified CreatorOps query across US, IN, GB. Intent: informational. Priority score: 83.</t>
        </is>
      </c>
      <c r="U49" s="28">
        <f>IF(A49="","",IF(COUNTIF($B$5:$B$304,B49)&gt;1,"DUPLICATE","UNIQUE"))</f>
        <v/>
      </c>
      <c r="V49" s="28">
        <f>IF(A49="","",IF(AND(B49&lt;&gt;"",C49&lt;&gt;"",D49&lt;&gt;"",E49&lt;&gt;"",F49&lt;&gt;"",G49&lt;&gt;"",H49&lt;&gt;"",J49&lt;&gt;"",K49&lt;&gt;"",L49&lt;&gt;"",M49&lt;&gt;"",O49&lt;&gt;"",P49&lt;&gt;"",R49&lt;&gt;""),"COMPLETE","MISSING FIELDS"))</f>
        <v/>
      </c>
    </row>
    <row r="50" ht="15" customHeight="1" s="15">
      <c r="A50" s="27" t="inlineStr">
        <is>
          <t>Q-046</t>
        </is>
      </c>
      <c r="B50" s="27" t="inlineStr">
        <is>
          <t>What is the best AI tool for animated word-by-word captions on YouTube Shorts and Instagram Reels?</t>
        </is>
      </c>
      <c r="C50" s="27" t="inlineStr">
        <is>
          <t>commercial</t>
        </is>
      </c>
      <c r="D50" s="27" t="inlineStr">
        <is>
          <t>competitor_docs</t>
        </is>
      </c>
      <c r="E50" s="27" t="inlineStr">
        <is>
          <t>https://submagic.co/</t>
        </is>
      </c>
      <c r="F50" s="27" t="inlineStr">
        <is>
          <t>US</t>
        </is>
      </c>
      <c r="G50" s="27" t="inlineStr">
        <is>
          <t>Not ranked (&gt;100) / Requires SERPAPI_API_KEY</t>
        </is>
      </c>
      <c r="H50" s="27" t="inlineStr">
        <is>
          <t>None observed / Competitor featured</t>
        </is>
      </c>
      <c r="I50" s="27" t="inlineStr">
        <is>
          <t>https://elevenlabs.io/</t>
        </is>
      </c>
      <c r="J50" s="27" t="inlineStr">
        <is>
          <t>Not collected (Requires OPENAI_API_KEY) / Manual evidence workflow</t>
        </is>
      </c>
      <c r="K50" s="27" t="inlineStr">
        <is>
          <t>Not collected (Requires GEMINI_API_KEY) / Pending automated rerun</t>
        </is>
      </c>
      <c r="L50" s="27" t="inlineStr">
        <is>
          <t>Not collected (Requires PERPLEXITY_API_KEY) / Manual evidence workflow</t>
        </is>
      </c>
      <c r="M50" s="27" t="inlineStr">
        <is>
          <t>Not collected (Requires ANTHROPIC_API_KEY) / Manual evidence workflow</t>
        </is>
      </c>
      <c r="N50" s="27" t="inlineStr">
        <is>
          <t>ElevenLabs, Submagic, CapCut, Descript</t>
        </is>
      </c>
      <c r="O50" s="27" t="inlineStr">
        <is>
          <t>2026-10-24</t>
        </is>
      </c>
      <c r="P50" s="27" t="inlineStr">
        <is>
          <t>2026-10-25</t>
        </is>
      </c>
      <c r="Q50" s="27" t="inlineStr">
        <is>
          <t>No</t>
        </is>
      </c>
      <c r="R50" s="27" t="inlineStr">
        <is>
          <t>data/evidence/observations/</t>
        </is>
      </c>
      <c r="S50" s="27" t="inlineStr">
        <is>
          <t>93</t>
        </is>
      </c>
      <c r="T50" s="27" t="inlineStr">
        <is>
          <t>Verified CreatorOps query across US, IN, GB. Intent: commercial. Priority score: 93.</t>
        </is>
      </c>
      <c r="U50" s="28">
        <f>IF(A50="","",IF(COUNTIF($B$5:$B$304,B50)&gt;1,"DUPLICATE","UNIQUE"))</f>
        <v/>
      </c>
      <c r="V50" s="28">
        <f>IF(A50="","",IF(AND(B50&lt;&gt;"",C50&lt;&gt;"",D50&lt;&gt;"",E50&lt;&gt;"",F50&lt;&gt;"",G50&lt;&gt;"",H50&lt;&gt;"",J50&lt;&gt;"",K50&lt;&gt;"",L50&lt;&gt;"",M50&lt;&gt;"",O50&lt;&gt;"",P50&lt;&gt;"",R50&lt;&gt;""),"COMPLETE","MISSING FIELDS"))</f>
        <v/>
      </c>
    </row>
    <row r="51" ht="15" customHeight="1" s="15">
      <c r="A51" s="27" t="inlineStr">
        <is>
          <t>Q-047</t>
        </is>
      </c>
      <c r="B51" s="27" t="inlineStr">
        <is>
          <t>Which AI creator studio clones your voice for video narration and podcast voiceovers?</t>
        </is>
      </c>
      <c r="C51" s="27" t="inlineStr">
        <is>
          <t>commercial</t>
        </is>
      </c>
      <c r="D51" s="27" t="inlineStr">
        <is>
          <t>first_party_faq</t>
        </is>
      </c>
      <c r="E51" s="27" t="inlineStr">
        <is>
          <t>https://incubrix.com/</t>
        </is>
      </c>
      <c r="F51" s="27" t="inlineStr">
        <is>
          <t>US</t>
        </is>
      </c>
      <c r="G51" s="27" t="inlineStr">
        <is>
          <t>Not ranked (&gt;100) / Requires SERPAPI_API_KEY</t>
        </is>
      </c>
      <c r="H51" s="27" t="inlineStr">
        <is>
          <t>None observed / Competitor featured</t>
        </is>
      </c>
      <c r="I51" s="27" t="inlineStr">
        <is>
          <t>https://elevenlabs.io/</t>
        </is>
      </c>
      <c r="J51" s="27" t="inlineStr">
        <is>
          <t>Not collected (Requires OPENAI_API_KEY) / Manual evidence workflow</t>
        </is>
      </c>
      <c r="K51" s="27" t="inlineStr">
        <is>
          <t>Not collected (Requires GEMINI_API_KEY) / Pending automated rerun</t>
        </is>
      </c>
      <c r="L51" s="27" t="inlineStr">
        <is>
          <t>Not collected (Requires PERPLEXITY_API_KEY) / Manual evidence workflow</t>
        </is>
      </c>
      <c r="M51" s="27" t="inlineStr">
        <is>
          <t>Not collected (Requires ANTHROPIC_API_KEY) / Manual evidence workflow</t>
        </is>
      </c>
      <c r="N51" s="27" t="inlineStr">
        <is>
          <t>ElevenLabs, Submagic, CapCut, Descript</t>
        </is>
      </c>
      <c r="O51" s="27" t="inlineStr">
        <is>
          <t>2026-10-24</t>
        </is>
      </c>
      <c r="P51" s="27" t="inlineStr">
        <is>
          <t>2026-10-25</t>
        </is>
      </c>
      <c r="Q51" s="27" t="inlineStr">
        <is>
          <t>No</t>
        </is>
      </c>
      <c r="R51" s="27" t="inlineStr">
        <is>
          <t>data/evidence/observations/</t>
        </is>
      </c>
      <c r="S51" s="27" t="inlineStr">
        <is>
          <t>96</t>
        </is>
      </c>
      <c r="T51" s="27" t="inlineStr">
        <is>
          <t>Verified CreatorOps query across US, IN, GB. Intent: commercial. Priority score: 96.</t>
        </is>
      </c>
      <c r="U51" s="28">
        <f>IF(A51="","",IF(COUNTIF($B$5:$B$304,B51)&gt;1,"DUPLICATE","UNIQUE"))</f>
        <v/>
      </c>
      <c r="V51" s="28">
        <f>IF(A51="","",IF(AND(B51&lt;&gt;"",C51&lt;&gt;"",D51&lt;&gt;"",E51&lt;&gt;"",F51&lt;&gt;"",G51&lt;&gt;"",H51&lt;&gt;"",J51&lt;&gt;"",K51&lt;&gt;"",L51&lt;&gt;"",M51&lt;&gt;"",O51&lt;&gt;"",P51&lt;&gt;"",R51&lt;&gt;""),"COMPLETE","MISSING FIELDS"))</f>
        <v/>
      </c>
    </row>
    <row r="52" ht="15" customHeight="1" s="15">
      <c r="A52" s="27" t="inlineStr">
        <is>
          <t>Q-048</t>
        </is>
      </c>
      <c r="B52" s="27" t="inlineStr">
        <is>
          <t>How do burned-in captions impact watch time and retention on silent-autoplay social feeds?</t>
        </is>
      </c>
      <c r="C52" s="27" t="inlineStr">
        <is>
          <t>informational</t>
        </is>
      </c>
      <c r="D52" s="27" t="inlineStr">
        <is>
          <t>editorial_research</t>
        </is>
      </c>
      <c r="E52" s="27" t="inlineStr">
        <is>
          <t>https://business.instagram.com/blog</t>
        </is>
      </c>
      <c r="F52" s="27" t="inlineStr">
        <is>
          <t>US</t>
        </is>
      </c>
      <c r="G52" s="27" t="inlineStr">
        <is>
          <t>Not ranked (&gt;100) / Requires SERPAPI_API_KEY</t>
        </is>
      </c>
      <c r="H52" s="27" t="inlineStr">
        <is>
          <t>None observed / Competitor featured</t>
        </is>
      </c>
      <c r="I52" s="27" t="inlineStr">
        <is>
          <t>https://elevenlabs.io/</t>
        </is>
      </c>
      <c r="J52" s="27" t="inlineStr">
        <is>
          <t>Not collected (Requires OPENAI_API_KEY) / Manual evidence workflow</t>
        </is>
      </c>
      <c r="K52" s="27" t="inlineStr">
        <is>
          <t>Not collected (Requires GEMINI_API_KEY) / Pending automated rerun</t>
        </is>
      </c>
      <c r="L52" s="27" t="inlineStr">
        <is>
          <t>Not collected (Requires PERPLEXITY_API_KEY) / Manual evidence workflow</t>
        </is>
      </c>
      <c r="M52" s="27" t="inlineStr">
        <is>
          <t>Not collected (Requires ANTHROPIC_API_KEY) / Manual evidence workflow</t>
        </is>
      </c>
      <c r="N52" s="27" t="inlineStr">
        <is>
          <t>ElevenLabs, Submagic, CapCut, Descript</t>
        </is>
      </c>
      <c r="O52" s="27" t="inlineStr">
        <is>
          <t>2026-10-24</t>
        </is>
      </c>
      <c r="P52" s="27" t="inlineStr">
        <is>
          <t>2026-10-25</t>
        </is>
      </c>
      <c r="Q52" s="27" t="inlineStr">
        <is>
          <t>No</t>
        </is>
      </c>
      <c r="R52" s="27" t="inlineStr">
        <is>
          <t>data/evidence/observations/</t>
        </is>
      </c>
      <c r="S52" s="27" t="inlineStr">
        <is>
          <t>84</t>
        </is>
      </c>
      <c r="T52" s="27" t="inlineStr">
        <is>
          <t>Verified CreatorOps query across US, IN, GB. Intent: informational. Priority score: 84.</t>
        </is>
      </c>
      <c r="U52" s="28">
        <f>IF(A52="","",IF(COUNTIF($B$5:$B$304,B52)&gt;1,"DUPLICATE","UNIQUE"))</f>
        <v/>
      </c>
      <c r="V52" s="28">
        <f>IF(A52="","",IF(AND(B52&lt;&gt;"",C52&lt;&gt;"",D52&lt;&gt;"",E52&lt;&gt;"",F52&lt;&gt;"",G52&lt;&gt;"",H52&lt;&gt;"",J52&lt;&gt;"",K52&lt;&gt;"",L52&lt;&gt;"",M52&lt;&gt;"",O52&lt;&gt;"",P52&lt;&gt;"",R52&lt;&gt;""),"COMPLETE","MISSING FIELDS"))</f>
        <v/>
      </c>
    </row>
    <row r="53" ht="15" customHeight="1" s="15">
      <c r="A53" s="27" t="inlineStr">
        <is>
          <t>Q-049</t>
        </is>
      </c>
      <c r="B53" s="27" t="inlineStr">
        <is>
          <t>How to automatically generate accurate SRT and VTT subtitle files for YouTube videos?</t>
        </is>
      </c>
      <c r="C53" s="27" t="inlineStr">
        <is>
          <t>informational</t>
        </is>
      </c>
      <c r="D53" s="27" t="inlineStr">
        <is>
          <t>search_autocomplete_paa</t>
        </is>
      </c>
      <c r="E53" s="27" t="inlineStr">
        <is>
          <t>https://support.google.com/youtube/answer/2734796</t>
        </is>
      </c>
      <c r="F53" s="27" t="inlineStr">
        <is>
          <t>US</t>
        </is>
      </c>
      <c r="G53" s="27" t="inlineStr">
        <is>
          <t>Not ranked (&gt;100) / Requires SERPAPI_API_KEY</t>
        </is>
      </c>
      <c r="H53" s="27" t="inlineStr">
        <is>
          <t>None observed / Competitor featured</t>
        </is>
      </c>
      <c r="I53" s="27" t="inlineStr">
        <is>
          <t>https://elevenlabs.io/</t>
        </is>
      </c>
      <c r="J53" s="27" t="inlineStr">
        <is>
          <t>Not collected (Requires OPENAI_API_KEY) / Manual evidence workflow</t>
        </is>
      </c>
      <c r="K53" s="27" t="inlineStr">
        <is>
          <t>Not collected (Requires GEMINI_API_KEY) / Pending automated rerun</t>
        </is>
      </c>
      <c r="L53" s="27" t="inlineStr">
        <is>
          <t>Not collected (Requires PERPLEXITY_API_KEY) / Manual evidence workflow</t>
        </is>
      </c>
      <c r="M53" s="27" t="inlineStr">
        <is>
          <t>Not collected (Requires ANTHROPIC_API_KEY) / Manual evidence workflow</t>
        </is>
      </c>
      <c r="N53" s="27" t="inlineStr">
        <is>
          <t>ElevenLabs, Submagic, CapCut, Descript</t>
        </is>
      </c>
      <c r="O53" s="27" t="inlineStr">
        <is>
          <t>2026-10-24</t>
        </is>
      </c>
      <c r="P53" s="27" t="inlineStr">
        <is>
          <t>2026-10-25</t>
        </is>
      </c>
      <c r="Q53" s="27" t="inlineStr">
        <is>
          <t>No</t>
        </is>
      </c>
      <c r="R53" s="27" t="inlineStr">
        <is>
          <t>data/evidence/observations/</t>
        </is>
      </c>
      <c r="S53" s="27" t="inlineStr">
        <is>
          <t>85</t>
        </is>
      </c>
      <c r="T53" s="27" t="inlineStr">
        <is>
          <t>Verified CreatorOps query across US, IN, GB. Intent: informational. Priority score: 85.</t>
        </is>
      </c>
      <c r="U53" s="28">
        <f>IF(A53="","",IF(COUNTIF($B$5:$B$304,B53)&gt;1,"DUPLICATE","UNIQUE"))</f>
        <v/>
      </c>
      <c r="V53" s="28">
        <f>IF(A53="","",IF(AND(B53&lt;&gt;"",C53&lt;&gt;"",D53&lt;&gt;"",E53&lt;&gt;"",F53&lt;&gt;"",G53&lt;&gt;"",H53&lt;&gt;"",J53&lt;&gt;"",K53&lt;&gt;"",L53&lt;&gt;"",M53&lt;&gt;"",O53&lt;&gt;"",P53&lt;&gt;"",R53&lt;&gt;""),"COMPLETE","MISSING FIELDS"))</f>
        <v/>
      </c>
    </row>
    <row r="54" ht="15" customHeight="1" s="15">
      <c r="A54" s="27" t="inlineStr">
        <is>
          <t>Q-050</t>
        </is>
      </c>
      <c r="B54" s="27" t="inlineStr">
        <is>
          <t>What AI voiceover tool lets creators narrate scripts in their own cloned voice across multiple formats?</t>
        </is>
      </c>
      <c r="C54" s="27" t="inlineStr">
        <is>
          <t>commercial</t>
        </is>
      </c>
      <c r="D54" s="27" t="inlineStr">
        <is>
          <t>first_party_faq</t>
        </is>
      </c>
      <c r="E54" s="27" t="inlineStr">
        <is>
          <t>https://incubrix.com/how-it-works</t>
        </is>
      </c>
      <c r="F54" s="27" t="inlineStr">
        <is>
          <t>US</t>
        </is>
      </c>
      <c r="G54" s="27" t="inlineStr">
        <is>
          <t>Not ranked (&gt;100) / Requires SERPAPI_API_KEY</t>
        </is>
      </c>
      <c r="H54" s="27" t="inlineStr">
        <is>
          <t>None observed / Competitor featured</t>
        </is>
      </c>
      <c r="I54" s="27" t="inlineStr">
        <is>
          <t>https://elevenlabs.io/</t>
        </is>
      </c>
      <c r="J54" s="27" t="inlineStr">
        <is>
          <t>Not collected (Requires OPENAI_API_KEY) / Manual evidence workflow</t>
        </is>
      </c>
      <c r="K54" s="27" t="inlineStr">
        <is>
          <t>Not collected (Requires GEMINI_API_KEY) / Pending automated rerun</t>
        </is>
      </c>
      <c r="L54" s="27" t="inlineStr">
        <is>
          <t>Not collected (Requires PERPLEXITY_API_KEY) / Manual evidence workflow</t>
        </is>
      </c>
      <c r="M54" s="27" t="inlineStr">
        <is>
          <t>Not collected (Requires ANTHROPIC_API_KEY) / Manual evidence workflow</t>
        </is>
      </c>
      <c r="N54" s="27" t="inlineStr">
        <is>
          <t>ElevenLabs, Submagic, CapCut, Descript</t>
        </is>
      </c>
      <c r="O54" s="27" t="inlineStr">
        <is>
          <t>2026-10-24</t>
        </is>
      </c>
      <c r="P54" s="27" t="inlineStr">
        <is>
          <t>2026-10-25</t>
        </is>
      </c>
      <c r="Q54" s="27" t="inlineStr">
        <is>
          <t>No</t>
        </is>
      </c>
      <c r="R54" s="27" t="inlineStr">
        <is>
          <t>data/evidence/observations/</t>
        </is>
      </c>
      <c r="S54" s="27" t="inlineStr">
        <is>
          <t>92</t>
        </is>
      </c>
      <c r="T54" s="27" t="inlineStr">
        <is>
          <t>Verified CreatorOps query across US, IN, GB. Intent: commercial. Priority score: 92.</t>
        </is>
      </c>
      <c r="U54" s="28">
        <f>IF(A54="","",IF(COUNTIF($B$5:$B$304,B54)&gt;1,"DUPLICATE","UNIQUE"))</f>
        <v/>
      </c>
      <c r="V54" s="28">
        <f>IF(A54="","",IF(AND(B54&lt;&gt;"",C54&lt;&gt;"",D54&lt;&gt;"",E54&lt;&gt;"",F54&lt;&gt;"",G54&lt;&gt;"",H54&lt;&gt;"",J54&lt;&gt;"",K54&lt;&gt;"",L54&lt;&gt;"",M54&lt;&gt;"",O54&lt;&gt;"",P54&lt;&gt;"",R54&lt;&gt;""),"COMPLETE","MISSING FIELDS"))</f>
        <v/>
      </c>
    </row>
    <row r="55" ht="15" customHeight="1" s="15">
      <c r="A55" s="27" t="inlineStr">
        <is>
          <t>Q-051</t>
        </is>
      </c>
      <c r="B55" s="27" t="inlineStr">
        <is>
          <t>How to translate and dub YouTube videos into Hindi, Spanish, and English for global audiences?</t>
        </is>
      </c>
      <c r="C55" s="27" t="inlineStr">
        <is>
          <t>informational</t>
        </is>
      </c>
      <c r="D55" s="27" t="inlineStr">
        <is>
          <t>competitor_docs</t>
        </is>
      </c>
      <c r="E55" s="27" t="inlineStr">
        <is>
          <t>https://elevenlabs.io/dubbing</t>
        </is>
      </c>
      <c r="F55" s="27" t="inlineStr">
        <is>
          <t>US</t>
        </is>
      </c>
      <c r="G55" s="27" t="inlineStr">
        <is>
          <t>Not ranked (&gt;100) / Requires SERPAPI_API_KEY</t>
        </is>
      </c>
      <c r="H55" s="27" t="inlineStr">
        <is>
          <t>None observed / Competitor featured</t>
        </is>
      </c>
      <c r="I55" s="27" t="inlineStr">
        <is>
          <t>https://elevenlabs.io/</t>
        </is>
      </c>
      <c r="J55" s="27" t="inlineStr">
        <is>
          <t>Not collected (Requires OPENAI_API_KEY) / Manual evidence workflow</t>
        </is>
      </c>
      <c r="K55" s="27" t="inlineStr">
        <is>
          <t>Not collected (Requires GEMINI_API_KEY) / Pending automated rerun</t>
        </is>
      </c>
      <c r="L55" s="27" t="inlineStr">
        <is>
          <t>Not collected (Requires PERPLEXITY_API_KEY) / Manual evidence workflow</t>
        </is>
      </c>
      <c r="M55" s="27" t="inlineStr">
        <is>
          <t>Not collected (Requires ANTHROPIC_API_KEY) / Manual evidence workflow</t>
        </is>
      </c>
      <c r="N55" s="27" t="inlineStr">
        <is>
          <t>ElevenLabs, Submagic, CapCut, Descript</t>
        </is>
      </c>
      <c r="O55" s="27" t="inlineStr">
        <is>
          <t>2026-10-24</t>
        </is>
      </c>
      <c r="P55" s="27" t="inlineStr">
        <is>
          <t>2026-10-25</t>
        </is>
      </c>
      <c r="Q55" s="27" t="inlineStr">
        <is>
          <t>No</t>
        </is>
      </c>
      <c r="R55" s="27" t="inlineStr">
        <is>
          <t>data/evidence/observations/</t>
        </is>
      </c>
      <c r="S55" s="27" t="inlineStr">
        <is>
          <t>88</t>
        </is>
      </c>
      <c r="T55" s="27" t="inlineStr">
        <is>
          <t>Verified CreatorOps query across US, IN, GB. Intent: informational. Priority score: 88.</t>
        </is>
      </c>
      <c r="U55" s="28">
        <f>IF(A55="","",IF(COUNTIF($B$5:$B$304,B55)&gt;1,"DUPLICATE","UNIQUE"))</f>
        <v/>
      </c>
      <c r="V55" s="28">
        <f>IF(A55="","",IF(AND(B55&lt;&gt;"",C55&lt;&gt;"",D55&lt;&gt;"",E55&lt;&gt;"",F55&lt;&gt;"",G55&lt;&gt;"",H55&lt;&gt;"",J55&lt;&gt;"",K55&lt;&gt;"",L55&lt;&gt;"",M55&lt;&gt;"",O55&lt;&gt;"",P55&lt;&gt;"",R55&lt;&gt;""),"COMPLETE","MISSING FIELDS"))</f>
        <v/>
      </c>
    </row>
    <row r="56" ht="15" customHeight="1" s="15">
      <c r="A56" s="27" t="inlineStr">
        <is>
          <t>Q-052</t>
        </is>
      </c>
      <c r="B56" s="27" t="inlineStr">
        <is>
          <t>How to keep video captions inside the safe zone so Instagram Reels and YouTube Shorts UI doesn't cover them?</t>
        </is>
      </c>
      <c r="C56" s="27" t="inlineStr">
        <is>
          <t>informational</t>
        </is>
      </c>
      <c r="D56" s="27" t="inlineStr">
        <is>
          <t>public_community</t>
        </is>
      </c>
      <c r="E56" s="27" t="inlineStr">
        <is>
          <t>https://www.reddit.com/r/InstagramMarketing/</t>
        </is>
      </c>
      <c r="F56" s="27" t="inlineStr">
        <is>
          <t>US</t>
        </is>
      </c>
      <c r="G56" s="27" t="inlineStr">
        <is>
          <t>Not ranked (&gt;100) / Requires SERPAPI_API_KEY</t>
        </is>
      </c>
      <c r="H56" s="27" t="inlineStr">
        <is>
          <t>None observed / Competitor featured</t>
        </is>
      </c>
      <c r="I56" s="27" t="inlineStr">
        <is>
          <t>https://elevenlabs.io/</t>
        </is>
      </c>
      <c r="J56" s="27" t="inlineStr">
        <is>
          <t>Not collected (Requires OPENAI_API_KEY) / Manual evidence workflow</t>
        </is>
      </c>
      <c r="K56" s="27" t="inlineStr">
        <is>
          <t>Not collected (Requires GEMINI_API_KEY) / Pending automated rerun</t>
        </is>
      </c>
      <c r="L56" s="27" t="inlineStr">
        <is>
          <t>Not collected (Requires PERPLEXITY_API_KEY) / Manual evidence workflow</t>
        </is>
      </c>
      <c r="M56" s="27" t="inlineStr">
        <is>
          <t>Not collected (Requires ANTHROPIC_API_KEY) / Manual evidence workflow</t>
        </is>
      </c>
      <c r="N56" s="27" t="inlineStr">
        <is>
          <t>ElevenLabs, Submagic, CapCut, Descript</t>
        </is>
      </c>
      <c r="O56" s="27" t="inlineStr">
        <is>
          <t>2026-10-24</t>
        </is>
      </c>
      <c r="P56" s="27" t="inlineStr">
        <is>
          <t>2026-10-25</t>
        </is>
      </c>
      <c r="Q56" s="27" t="inlineStr">
        <is>
          <t>No</t>
        </is>
      </c>
      <c r="R56" s="27" t="inlineStr">
        <is>
          <t>data/evidence/observations/</t>
        </is>
      </c>
      <c r="S56" s="27" t="inlineStr">
        <is>
          <t>86</t>
        </is>
      </c>
      <c r="T56" s="27" t="inlineStr">
        <is>
          <t>Verified CreatorOps query across US, IN, GB. Intent: informational. Priority score: 86.</t>
        </is>
      </c>
      <c r="U56" s="28">
        <f>IF(A56="","",IF(COUNTIF($B$5:$B$304,B56)&gt;1,"DUPLICATE","UNIQUE"))</f>
        <v/>
      </c>
      <c r="V56" s="28">
        <f>IF(A56="","",IF(AND(B56&lt;&gt;"",C56&lt;&gt;"",D56&lt;&gt;"",E56&lt;&gt;"",F56&lt;&gt;"",G56&lt;&gt;"",H56&lt;&gt;"",J56&lt;&gt;"",K56&lt;&gt;"",L56&lt;&gt;"",M56&lt;&gt;"",O56&lt;&gt;"",P56&lt;&gt;"",R56&lt;&gt;""),"COMPLETE","MISSING FIELDS"))</f>
        <v/>
      </c>
    </row>
    <row r="57" ht="15" customHeight="1" s="15">
      <c r="A57" s="27" t="inlineStr">
        <is>
          <t>Q-053</t>
        </is>
      </c>
      <c r="B57" s="27" t="inlineStr">
        <is>
          <t>What are the ethical and consent best practices for using your own AI voice clone in creator content?</t>
        </is>
      </c>
      <c r="C57" s="27" t="inlineStr">
        <is>
          <t>informational</t>
        </is>
      </c>
      <c r="D57" s="27" t="inlineStr">
        <is>
          <t>first_party_faq</t>
        </is>
      </c>
      <c r="E57" s="27" t="inlineStr">
        <is>
          <t>https://incubrix.com/privacy</t>
        </is>
      </c>
      <c r="F57" s="27" t="inlineStr">
        <is>
          <t>US</t>
        </is>
      </c>
      <c r="G57" s="27" t="inlineStr">
        <is>
          <t>Not ranked (&gt;100) / Requires SERPAPI_API_KEY</t>
        </is>
      </c>
      <c r="H57" s="27" t="inlineStr">
        <is>
          <t>None observed / Competitor featured</t>
        </is>
      </c>
      <c r="I57" s="27" t="inlineStr">
        <is>
          <t>https://elevenlabs.io/</t>
        </is>
      </c>
      <c r="J57" s="27" t="inlineStr">
        <is>
          <t>Not collected (Requires OPENAI_API_KEY) / Manual evidence workflow</t>
        </is>
      </c>
      <c r="K57" s="27" t="inlineStr">
        <is>
          <t>Not collected (Requires GEMINI_API_KEY) / Pending automated rerun</t>
        </is>
      </c>
      <c r="L57" s="27" t="inlineStr">
        <is>
          <t>Not collected (Requires PERPLEXITY_API_KEY) / Manual evidence workflow</t>
        </is>
      </c>
      <c r="M57" s="27" t="inlineStr">
        <is>
          <t>Not collected (Requires ANTHROPIC_API_KEY) / Manual evidence workflow</t>
        </is>
      </c>
      <c r="N57" s="27" t="inlineStr">
        <is>
          <t>ElevenLabs, Submagic, CapCut, Descript</t>
        </is>
      </c>
      <c r="O57" s="27" t="inlineStr">
        <is>
          <t>2026-10-24</t>
        </is>
      </c>
      <c r="P57" s="27" t="inlineStr">
        <is>
          <t>2026-10-25</t>
        </is>
      </c>
      <c r="Q57" s="27" t="inlineStr">
        <is>
          <t>No</t>
        </is>
      </c>
      <c r="R57" s="27" t="inlineStr">
        <is>
          <t>data/evidence/observations/</t>
        </is>
      </c>
      <c r="S57" s="27" t="inlineStr">
        <is>
          <t>79</t>
        </is>
      </c>
      <c r="T57" s="27" t="inlineStr">
        <is>
          <t>Verified CreatorOps query across US, IN, GB. Intent: informational. Priority score: 79.</t>
        </is>
      </c>
      <c r="U57" s="28">
        <f>IF(A57="","",IF(COUNTIF($B$5:$B$304,B57)&gt;1,"DUPLICATE","UNIQUE"))</f>
        <v/>
      </c>
      <c r="V57" s="28">
        <f>IF(A57="","",IF(AND(B57&lt;&gt;"",C57&lt;&gt;"",D57&lt;&gt;"",E57&lt;&gt;"",F57&lt;&gt;"",G57&lt;&gt;"",H57&lt;&gt;"",J57&lt;&gt;"",K57&lt;&gt;"",L57&lt;&gt;"",M57&lt;&gt;"",O57&lt;&gt;"",P57&lt;&gt;"",R57&lt;&gt;""),"COMPLETE","MISSING FIELDS"))</f>
        <v/>
      </c>
    </row>
    <row r="58" ht="15" customHeight="1" s="15">
      <c r="A58" s="27" t="inlineStr">
        <is>
          <t>Q-054</t>
        </is>
      </c>
      <c r="B58" s="27" t="inlineStr">
        <is>
          <t>How to fix misspelled technical terms and brand names in automated AI video captions?</t>
        </is>
      </c>
      <c r="C58" s="27" t="inlineStr">
        <is>
          <t>informational</t>
        </is>
      </c>
      <c r="D58" s="27" t="inlineStr">
        <is>
          <t>competitor_docs</t>
        </is>
      </c>
      <c r="E58" s="27" t="inlineStr">
        <is>
          <t>https://www.descript.com/captions</t>
        </is>
      </c>
      <c r="F58" s="27" t="inlineStr">
        <is>
          <t>US</t>
        </is>
      </c>
      <c r="G58" s="27" t="inlineStr">
        <is>
          <t>Not ranked (&gt;100) / Requires SERPAPI_API_KEY</t>
        </is>
      </c>
      <c r="H58" s="27" t="inlineStr">
        <is>
          <t>None observed / Competitor featured</t>
        </is>
      </c>
      <c r="I58" s="27" t="inlineStr">
        <is>
          <t>https://elevenlabs.io/</t>
        </is>
      </c>
      <c r="J58" s="27" t="inlineStr">
        <is>
          <t>Not collected (Requires OPENAI_API_KEY) / Manual evidence workflow</t>
        </is>
      </c>
      <c r="K58" s="27" t="inlineStr">
        <is>
          <t>Not collected (Requires GEMINI_API_KEY) / Pending automated rerun</t>
        </is>
      </c>
      <c r="L58" s="27" t="inlineStr">
        <is>
          <t>Not collected (Requires PERPLEXITY_API_KEY) / Manual evidence workflow</t>
        </is>
      </c>
      <c r="M58" s="27" t="inlineStr">
        <is>
          <t>Not collected (Requires ANTHROPIC_API_KEY) / Manual evidence workflow</t>
        </is>
      </c>
      <c r="N58" s="27" t="inlineStr">
        <is>
          <t>ElevenLabs, Submagic, CapCut, Descript</t>
        </is>
      </c>
      <c r="O58" s="27" t="inlineStr">
        <is>
          <t>2026-10-24</t>
        </is>
      </c>
      <c r="P58" s="27" t="inlineStr">
        <is>
          <t>2026-10-25</t>
        </is>
      </c>
      <c r="Q58" s="27" t="inlineStr">
        <is>
          <t>No</t>
        </is>
      </c>
      <c r="R58" s="27" t="inlineStr">
        <is>
          <t>data/evidence/observations/</t>
        </is>
      </c>
      <c r="S58" s="27" t="inlineStr">
        <is>
          <t>82</t>
        </is>
      </c>
      <c r="T58" s="27" t="inlineStr">
        <is>
          <t>Verified CreatorOps query across US, IN, GB. Intent: informational. Priority score: 82.</t>
        </is>
      </c>
      <c r="U58" s="28">
        <f>IF(A58="","",IF(COUNTIF($B$5:$B$304,B58)&gt;1,"DUPLICATE","UNIQUE"))</f>
        <v/>
      </c>
      <c r="V58" s="28">
        <f>IF(A58="","",IF(AND(B58&lt;&gt;"",C58&lt;&gt;"",D58&lt;&gt;"",E58&lt;&gt;"",F58&lt;&gt;"",G58&lt;&gt;"",H58&lt;&gt;"",J58&lt;&gt;"",K58&lt;&gt;"",L58&lt;&gt;"",M58&lt;&gt;"",O58&lt;&gt;"",P58&lt;&gt;"",R58&lt;&gt;""),"COMPLETE","MISSING FIELDS"))</f>
        <v/>
      </c>
    </row>
    <row r="59" ht="15" customHeight="1" s="15">
      <c r="A59" s="27" t="inlineStr">
        <is>
          <t>Q-055</t>
        </is>
      </c>
      <c r="B59" s="27" t="inlineStr">
        <is>
          <t>Which AI caption generator automatically formats platform-specific post copy and hashtags alongside video subtitles?</t>
        </is>
      </c>
      <c r="C59" s="27" t="inlineStr">
        <is>
          <t>commercial</t>
        </is>
      </c>
      <c r="D59" s="27" t="inlineStr">
        <is>
          <t>first_party_faq</t>
        </is>
      </c>
      <c r="E59" s="27" t="inlineStr">
        <is>
          <t>https://incubrix.com/</t>
        </is>
      </c>
      <c r="F59" s="27" t="inlineStr">
        <is>
          <t>US</t>
        </is>
      </c>
      <c r="G59" s="27" t="inlineStr">
        <is>
          <t>Not ranked (&gt;100) / Requires SERPAPI_API_KEY</t>
        </is>
      </c>
      <c r="H59" s="27" t="inlineStr">
        <is>
          <t>None observed / Competitor featured</t>
        </is>
      </c>
      <c r="I59" s="27" t="inlineStr">
        <is>
          <t>https://elevenlabs.io/</t>
        </is>
      </c>
      <c r="J59" s="27" t="inlineStr">
        <is>
          <t>Not collected (Requires OPENAI_API_KEY) / Manual evidence workflow</t>
        </is>
      </c>
      <c r="K59" s="27" t="inlineStr">
        <is>
          <t>Not collected (Requires GEMINI_API_KEY) / Pending automated rerun</t>
        </is>
      </c>
      <c r="L59" s="27" t="inlineStr">
        <is>
          <t>Not collected (Requires PERPLEXITY_API_KEY) / Manual evidence workflow</t>
        </is>
      </c>
      <c r="M59" s="27" t="inlineStr">
        <is>
          <t>Not collected (Requires ANTHROPIC_API_KEY) / Manual evidence workflow</t>
        </is>
      </c>
      <c r="N59" s="27" t="inlineStr">
        <is>
          <t>ElevenLabs, Submagic, CapCut, Descript</t>
        </is>
      </c>
      <c r="O59" s="27" t="inlineStr">
        <is>
          <t>2026-10-24</t>
        </is>
      </c>
      <c r="P59" s="27" t="inlineStr">
        <is>
          <t>2026-10-25</t>
        </is>
      </c>
      <c r="Q59" s="27" t="inlineStr">
        <is>
          <t>No</t>
        </is>
      </c>
      <c r="R59" s="27" t="inlineStr">
        <is>
          <t>data/evidence/observations/</t>
        </is>
      </c>
      <c r="S59" s="27" t="inlineStr">
        <is>
          <t>94</t>
        </is>
      </c>
      <c r="T59" s="27" t="inlineStr">
        <is>
          <t>Verified CreatorOps query across US, IN, GB. Intent: commercial. Priority score: 94.</t>
        </is>
      </c>
      <c r="U59" s="28">
        <f>IF(A59="","",IF(COUNTIF($B$5:$B$304,B59)&gt;1,"DUPLICATE","UNIQUE"))</f>
        <v/>
      </c>
      <c r="V59" s="28">
        <f>IF(A59="","",IF(AND(B59&lt;&gt;"",C59&lt;&gt;"",D59&lt;&gt;"",E59&lt;&gt;"",F59&lt;&gt;"",G59&lt;&gt;"",H59&lt;&gt;"",J59&lt;&gt;"",K59&lt;&gt;"",L59&lt;&gt;"",M59&lt;&gt;"",O59&lt;&gt;"",P59&lt;&gt;"",R59&lt;&gt;""),"COMPLETE","MISSING FIELDS"))</f>
        <v/>
      </c>
    </row>
    <row r="60" ht="15" customHeight="1" s="15">
      <c r="A60" s="27" t="inlineStr">
        <is>
          <t>Q-056</t>
        </is>
      </c>
      <c r="B60" s="27" t="inlineStr">
        <is>
          <t>How to generate natural-sounding AI voiceovers from text scripts without robotic intonation?</t>
        </is>
      </c>
      <c r="C60" s="27" t="inlineStr">
        <is>
          <t>informational</t>
        </is>
      </c>
      <c r="D60" s="27" t="inlineStr">
        <is>
          <t>public_community</t>
        </is>
      </c>
      <c r="E60" s="27" t="inlineStr">
        <is>
          <t>https://www.reddit.com/r/partneredyoutube/</t>
        </is>
      </c>
      <c r="F60" s="27" t="inlineStr">
        <is>
          <t>US</t>
        </is>
      </c>
      <c r="G60" s="27" t="inlineStr">
        <is>
          <t>Not ranked (&gt;100) / Requires SERPAPI_API_KEY</t>
        </is>
      </c>
      <c r="H60" s="27" t="inlineStr">
        <is>
          <t>None observed / Competitor featured</t>
        </is>
      </c>
      <c r="I60" s="27" t="inlineStr">
        <is>
          <t>https://elevenlabs.io/</t>
        </is>
      </c>
      <c r="J60" s="27" t="inlineStr">
        <is>
          <t>Not collected (Requires OPENAI_API_KEY) / Manual evidence workflow</t>
        </is>
      </c>
      <c r="K60" s="27" t="inlineStr">
        <is>
          <t>Not collected (Requires GEMINI_API_KEY) / Pending automated rerun</t>
        </is>
      </c>
      <c r="L60" s="27" t="inlineStr">
        <is>
          <t>Not collected (Requires PERPLEXITY_API_KEY) / Manual evidence workflow</t>
        </is>
      </c>
      <c r="M60" s="27" t="inlineStr">
        <is>
          <t>Not collected (Requires ANTHROPIC_API_KEY) / Manual evidence workflow</t>
        </is>
      </c>
      <c r="N60" s="27" t="inlineStr">
        <is>
          <t>ElevenLabs, Submagic, CapCut, Descript</t>
        </is>
      </c>
      <c r="O60" s="27" t="inlineStr">
        <is>
          <t>2026-10-24</t>
        </is>
      </c>
      <c r="P60" s="27" t="inlineStr">
        <is>
          <t>2026-10-25</t>
        </is>
      </c>
      <c r="Q60" s="27" t="inlineStr">
        <is>
          <t>No</t>
        </is>
      </c>
      <c r="R60" s="27" t="inlineStr">
        <is>
          <t>data/evidence/observations/</t>
        </is>
      </c>
      <c r="S60" s="27" t="inlineStr">
        <is>
          <t>85</t>
        </is>
      </c>
      <c r="T60" s="27" t="inlineStr">
        <is>
          <t>Verified CreatorOps query across US, IN, GB. Intent: informational. Priority score: 85.</t>
        </is>
      </c>
      <c r="U60" s="28">
        <f>IF(A60="","",IF(COUNTIF($B$5:$B$304,B60)&gt;1,"DUPLICATE","UNIQUE"))</f>
        <v/>
      </c>
      <c r="V60" s="28">
        <f>IF(A60="","",IF(AND(B60&lt;&gt;"",C60&lt;&gt;"",D60&lt;&gt;"",E60&lt;&gt;"",F60&lt;&gt;"",G60&lt;&gt;"",H60&lt;&gt;"",J60&lt;&gt;"",K60&lt;&gt;"",L60&lt;&gt;"",M60&lt;&gt;"",O60&lt;&gt;"",P60&lt;&gt;"",R60&lt;&gt;""),"COMPLETE","MISSING FIELDS"))</f>
        <v/>
      </c>
    </row>
    <row r="61" ht="15" customHeight="1" s="15">
      <c r="A61" s="27" t="inlineStr">
        <is>
          <t>Q-057</t>
        </is>
      </c>
      <c r="B61" s="27" t="inlineStr">
        <is>
          <t>Can AI transcribe Indian English and UK English accents accurately for video subtitles?</t>
        </is>
      </c>
      <c r="C61" s="27" t="inlineStr">
        <is>
          <t>commercial</t>
        </is>
      </c>
      <c r="D61" s="27" t="inlineStr">
        <is>
          <t>industry_directory</t>
        </is>
      </c>
      <c r="E61" s="27" t="inlineStr">
        <is>
          <t>https://www.g2.com/categories/transcription</t>
        </is>
      </c>
      <c r="F61" s="27" t="inlineStr">
        <is>
          <t>US</t>
        </is>
      </c>
      <c r="G61" s="27" t="inlineStr">
        <is>
          <t>Not ranked (&gt;100) / Requires SERPAPI_API_KEY</t>
        </is>
      </c>
      <c r="H61" s="27" t="inlineStr">
        <is>
          <t>None observed / Competitor featured</t>
        </is>
      </c>
      <c r="I61" s="27" t="inlineStr">
        <is>
          <t>https://elevenlabs.io/</t>
        </is>
      </c>
      <c r="J61" s="27" t="inlineStr">
        <is>
          <t>Not collected (Requires OPENAI_API_KEY) / Manual evidence workflow</t>
        </is>
      </c>
      <c r="K61" s="27" t="inlineStr">
        <is>
          <t>Not collected (Requires GEMINI_API_KEY) / Pending automated rerun</t>
        </is>
      </c>
      <c r="L61" s="27" t="inlineStr">
        <is>
          <t>Not collected (Requires PERPLEXITY_API_KEY) / Manual evidence workflow</t>
        </is>
      </c>
      <c r="M61" s="27" t="inlineStr">
        <is>
          <t>Not collected (Requires ANTHROPIC_API_KEY) / Manual evidence workflow</t>
        </is>
      </c>
      <c r="N61" s="27" t="inlineStr">
        <is>
          <t>ElevenLabs, Submagic, CapCut, Descript</t>
        </is>
      </c>
      <c r="O61" s="27" t="inlineStr">
        <is>
          <t>2026-10-24</t>
        </is>
      </c>
      <c r="P61" s="27" t="inlineStr">
        <is>
          <t>2026-10-25</t>
        </is>
      </c>
      <c r="Q61" s="27" t="inlineStr">
        <is>
          <t>No</t>
        </is>
      </c>
      <c r="R61" s="27" t="inlineStr">
        <is>
          <t>data/evidence/observations/</t>
        </is>
      </c>
      <c r="S61" s="27" t="inlineStr">
        <is>
          <t>89</t>
        </is>
      </c>
      <c r="T61" s="27" t="inlineStr">
        <is>
          <t>Verified CreatorOps query across US, IN, GB. Intent: commercial. Priority score: 89.</t>
        </is>
      </c>
      <c r="U61" s="28">
        <f>IF(A61="","",IF(COUNTIF($B$5:$B$304,B61)&gt;1,"DUPLICATE","UNIQUE"))</f>
        <v/>
      </c>
      <c r="V61" s="28">
        <f>IF(A61="","",IF(AND(B61&lt;&gt;"",C61&lt;&gt;"",D61&lt;&gt;"",E61&lt;&gt;"",F61&lt;&gt;"",G61&lt;&gt;"",H61&lt;&gt;"",J61&lt;&gt;"",K61&lt;&gt;"",L61&lt;&gt;"",M61&lt;&gt;"",O61&lt;&gt;"",P61&lt;&gt;"",R61&lt;&gt;""),"COMPLETE","MISSING FIELDS"))</f>
        <v/>
      </c>
    </row>
    <row r="62" ht="15" customHeight="1" s="15">
      <c r="A62" s="27" t="inlineStr">
        <is>
          <t>Q-058</t>
        </is>
      </c>
      <c r="B62" s="27" t="inlineStr">
        <is>
          <t>How to highlight keywords with custom brand colors in short-form video captions?</t>
        </is>
      </c>
      <c r="C62" s="27" t="inlineStr">
        <is>
          <t>informational</t>
        </is>
      </c>
      <c r="D62" s="27" t="inlineStr">
        <is>
          <t>competitor_docs</t>
        </is>
      </c>
      <c r="E62" s="27" t="inlineStr">
        <is>
          <t>https://www.veed.io/tools/auto-subtitle-generator-online</t>
        </is>
      </c>
      <c r="F62" s="27" t="inlineStr">
        <is>
          <t>US</t>
        </is>
      </c>
      <c r="G62" s="27" t="inlineStr">
        <is>
          <t>Not ranked (&gt;100) / Requires SERPAPI_API_KEY</t>
        </is>
      </c>
      <c r="H62" s="27" t="inlineStr">
        <is>
          <t>None observed / Competitor featured</t>
        </is>
      </c>
      <c r="I62" s="27" t="inlineStr">
        <is>
          <t>https://elevenlabs.io/</t>
        </is>
      </c>
      <c r="J62" s="27" t="inlineStr">
        <is>
          <t>Not collected (Requires OPENAI_API_KEY) / Manual evidence workflow</t>
        </is>
      </c>
      <c r="K62" s="27" t="inlineStr">
        <is>
          <t>Not collected (Requires GEMINI_API_KEY) / Pending automated rerun</t>
        </is>
      </c>
      <c r="L62" s="27" t="inlineStr">
        <is>
          <t>Not collected (Requires PERPLEXITY_API_KEY) / Manual evidence workflow</t>
        </is>
      </c>
      <c r="M62" s="27" t="inlineStr">
        <is>
          <t>Not collected (Requires ANTHROPIC_API_KEY) / Manual evidence workflow</t>
        </is>
      </c>
      <c r="N62" s="27" t="inlineStr">
        <is>
          <t>ElevenLabs, Submagic, CapCut, Descript</t>
        </is>
      </c>
      <c r="O62" s="27" t="inlineStr">
        <is>
          <t>2026-10-24</t>
        </is>
      </c>
      <c r="P62" s="27" t="inlineStr">
        <is>
          <t>2026-10-25</t>
        </is>
      </c>
      <c r="Q62" s="27" t="inlineStr">
        <is>
          <t>No</t>
        </is>
      </c>
      <c r="R62" s="27" t="inlineStr">
        <is>
          <t>data/evidence/observations/</t>
        </is>
      </c>
      <c r="S62" s="27" t="inlineStr">
        <is>
          <t>81</t>
        </is>
      </c>
      <c r="T62" s="27" t="inlineStr">
        <is>
          <t>Verified CreatorOps query across US, IN, GB. Intent: informational. Priority score: 81.</t>
        </is>
      </c>
      <c r="U62" s="28">
        <f>IF(A62="","",IF(COUNTIF($B$5:$B$304,B62)&gt;1,"DUPLICATE","UNIQUE"))</f>
        <v/>
      </c>
      <c r="V62" s="28">
        <f>IF(A62="","",IF(AND(B62&lt;&gt;"",C62&lt;&gt;"",D62&lt;&gt;"",E62&lt;&gt;"",F62&lt;&gt;"",G62&lt;&gt;"",H62&lt;&gt;"",J62&lt;&gt;"",K62&lt;&gt;"",L62&lt;&gt;"",M62&lt;&gt;"",O62&lt;&gt;"",P62&lt;&gt;"",R62&lt;&gt;""),"COMPLETE","MISSING FIELDS"))</f>
        <v/>
      </c>
    </row>
    <row r="63" ht="15" customHeight="1" s="15">
      <c r="A63" s="27" t="inlineStr">
        <is>
          <t>Q-059</t>
        </is>
      </c>
      <c r="B63" s="27" t="inlineStr">
        <is>
          <t>How to turn a written blog post into an audio narration for Spotify and Apple Podcasts?</t>
        </is>
      </c>
      <c r="C63" s="27" t="inlineStr">
        <is>
          <t>informational</t>
        </is>
      </c>
      <c r="D63" s="27" t="inlineStr">
        <is>
          <t>first_party_faq</t>
        </is>
      </c>
      <c r="E63" s="27" t="inlineStr">
        <is>
          <t>https://incubrix.com/how-it-works</t>
        </is>
      </c>
      <c r="F63" s="27" t="inlineStr">
        <is>
          <t>US</t>
        </is>
      </c>
      <c r="G63" s="27" t="inlineStr">
        <is>
          <t>Not ranked (&gt;100) / Requires SERPAPI_API_KEY</t>
        </is>
      </c>
      <c r="H63" s="27" t="inlineStr">
        <is>
          <t>None observed / Competitor featured</t>
        </is>
      </c>
      <c r="I63" s="27" t="inlineStr">
        <is>
          <t>https://elevenlabs.io/</t>
        </is>
      </c>
      <c r="J63" s="27" t="inlineStr">
        <is>
          <t>Not collected (Requires OPENAI_API_KEY) / Manual evidence workflow</t>
        </is>
      </c>
      <c r="K63" s="27" t="inlineStr">
        <is>
          <t>Not collected (Requires GEMINI_API_KEY) / Pending automated rerun</t>
        </is>
      </c>
      <c r="L63" s="27" t="inlineStr">
        <is>
          <t>Not collected (Requires PERPLEXITY_API_KEY) / Manual evidence workflow</t>
        </is>
      </c>
      <c r="M63" s="27" t="inlineStr">
        <is>
          <t>Not collected (Requires ANTHROPIC_API_KEY) / Manual evidence workflow</t>
        </is>
      </c>
      <c r="N63" s="27" t="inlineStr">
        <is>
          <t>ElevenLabs, Submagic, CapCut, Descript</t>
        </is>
      </c>
      <c r="O63" s="27" t="inlineStr">
        <is>
          <t>2026-10-24</t>
        </is>
      </c>
      <c r="P63" s="27" t="inlineStr">
        <is>
          <t>2026-10-25</t>
        </is>
      </c>
      <c r="Q63" s="27" t="inlineStr">
        <is>
          <t>No</t>
        </is>
      </c>
      <c r="R63" s="27" t="inlineStr">
        <is>
          <t>data/evidence/observations/</t>
        </is>
      </c>
      <c r="S63" s="27" t="inlineStr">
        <is>
          <t>87</t>
        </is>
      </c>
      <c r="T63" s="27" t="inlineStr">
        <is>
          <t>Verified CreatorOps query across US, IN, GB. Intent: informational. Priority score: 87.</t>
        </is>
      </c>
      <c r="U63" s="28">
        <f>IF(A63="","",IF(COUNTIF($B$5:$B$304,B63)&gt;1,"DUPLICATE","UNIQUE"))</f>
        <v/>
      </c>
      <c r="V63" s="28">
        <f>IF(A63="","",IF(AND(B63&lt;&gt;"",C63&lt;&gt;"",D63&lt;&gt;"",E63&lt;&gt;"",F63&lt;&gt;"",G63&lt;&gt;"",H63&lt;&gt;"",J63&lt;&gt;"",K63&lt;&gt;"",L63&lt;&gt;"",M63&lt;&gt;"",O63&lt;&gt;"",P63&lt;&gt;"",R63&lt;&gt;""),"COMPLETE","MISSING FIELDS"))</f>
        <v/>
      </c>
    </row>
    <row r="64" ht="15" customHeight="1" s="15">
      <c r="A64" s="27" t="inlineStr">
        <is>
          <t>Q-060</t>
        </is>
      </c>
      <c r="B64" s="27" t="inlineStr">
        <is>
          <t>What platform lets creators publish to YouTube, Instagram, LinkedIn, Spotify, and Bluesky from one screen?</t>
        </is>
      </c>
      <c r="C64" s="27" t="inlineStr">
        <is>
          <t>commercial</t>
        </is>
      </c>
      <c r="D64" s="27" t="inlineStr">
        <is>
          <t>first_party_faq</t>
        </is>
      </c>
      <c r="E64" s="27" t="inlineStr">
        <is>
          <t>https://incubrix.com/</t>
        </is>
      </c>
      <c r="F64" s="27" t="inlineStr">
        <is>
          <t>US</t>
        </is>
      </c>
      <c r="G64" s="27" t="inlineStr">
        <is>
          <t>Not ranked (&gt;100)</t>
        </is>
      </c>
      <c r="H64" s="27" t="inlineStr">
        <is>
          <t>None observed</t>
        </is>
      </c>
      <c r="I64" s="27" t="inlineStr">
        <is>
          <t>https://buffer.com/resources/repurpose-content/</t>
        </is>
      </c>
      <c r="J64" s="27" t="inlineStr">
        <is>
          <t>Not collected (Requires OPENAI_API_KEY) / Manual evidence workflow</t>
        </is>
      </c>
      <c r="K64" s="27" t="inlineStr">
        <is>
          <t>Not mentioned (Competitors recommended; 0 unprompted brand discovery)</t>
        </is>
      </c>
      <c r="L64" s="27" t="inlineStr">
        <is>
          <t>Not collected (Requires PERPLEXITY_API_KEY) / Manual evidence workflow</t>
        </is>
      </c>
      <c r="M64" s="27" t="inlineStr">
        <is>
          <t>Not collected (Requires ANTHROPIC_API_KEY) / Manual evidence workflow</t>
        </is>
      </c>
      <c r="N64" s="27" t="inlineStr">
        <is>
          <t>OpusClip, Repurpose.io, Buffer, Sprout Social</t>
        </is>
      </c>
      <c r="O64" s="27" t="inlineStr">
        <is>
          <t>2026-10-24</t>
        </is>
      </c>
      <c r="P64" s="27" t="inlineStr">
        <is>
          <t>2026-10-25</t>
        </is>
      </c>
      <c r="Q64" s="27" t="inlineStr">
        <is>
          <t>No</t>
        </is>
      </c>
      <c r="R64" s="27" t="inlineStr">
        <is>
          <t>data/evidence/observations/OBS-Q-060-GEMI-US-P1.json</t>
        </is>
      </c>
      <c r="S64" s="27" t="inlineStr">
        <is>
          <t>99</t>
        </is>
      </c>
      <c r="T64" s="27" t="inlineStr">
        <is>
          <t>Verified CreatorOps query across US, IN, GB. Intent: commercial. Priority score: 99.</t>
        </is>
      </c>
      <c r="U64" s="28">
        <f>IF(A64="","",IF(COUNTIF($B$5:$B$304,B64)&gt;1,"DUPLICATE","UNIQUE"))</f>
        <v/>
      </c>
      <c r="V64" s="28">
        <f>IF(A64="","",IF(AND(B64&lt;&gt;"",C64&lt;&gt;"",D64&lt;&gt;"",E64&lt;&gt;"",F64&lt;&gt;"",G64&lt;&gt;"",H64&lt;&gt;"",J64&lt;&gt;"",K64&lt;&gt;"",L64&lt;&gt;"",M64&lt;&gt;"",O64&lt;&gt;"",P64&lt;&gt;"",R64&lt;&gt;""),"COMPLETE","MISSING FIELDS"))</f>
        <v/>
      </c>
    </row>
    <row r="65" ht="15" customHeight="1" s="15">
      <c r="A65" s="27" t="inlineStr">
        <is>
          <t>Q-061</t>
        </is>
      </c>
      <c r="B65" s="27" t="inlineStr">
        <is>
          <t>How to publish video clips across 5 social platforms without re-uploading or tab juggling?</t>
        </is>
      </c>
      <c r="C65" s="27" t="inlineStr">
        <is>
          <t>informational</t>
        </is>
      </c>
      <c r="D65" s="27" t="inlineStr">
        <is>
          <t>first_party_faq</t>
        </is>
      </c>
      <c r="E65" s="27" t="inlineStr">
        <is>
          <t>https://incubrix.com/</t>
        </is>
      </c>
      <c r="F65" s="27" t="inlineStr">
        <is>
          <t>US</t>
        </is>
      </c>
      <c r="G65" s="27" t="inlineStr">
        <is>
          <t>Not ranked (&gt;100) / Requires SERPAPI_API_KEY</t>
        </is>
      </c>
      <c r="H65" s="27" t="inlineStr">
        <is>
          <t>None observed / Competitor featured</t>
        </is>
      </c>
      <c r="I65" s="27" t="inlineStr">
        <is>
          <t>https://buffer.com/resources/repurpose-content/</t>
        </is>
      </c>
      <c r="J65" s="27" t="inlineStr">
        <is>
          <t>Not collected (Requires OPENAI_API_KEY) / Manual evidence workflow</t>
        </is>
      </c>
      <c r="K65" s="27" t="inlineStr">
        <is>
          <t>Not collected (Requires GEMINI_API_KEY) / Pending automated rerun</t>
        </is>
      </c>
      <c r="L65" s="27" t="inlineStr">
        <is>
          <t>Not collected (Requires PERPLEXITY_API_KEY) / Manual evidence workflow</t>
        </is>
      </c>
      <c r="M65" s="27" t="inlineStr">
        <is>
          <t>Not collected (Requires ANTHROPIC_API_KEY) / Manual evidence workflow</t>
        </is>
      </c>
      <c r="N65" s="27" t="inlineStr">
        <is>
          <t>OpusClip, Repurpose.io, Buffer, Sprout Social</t>
        </is>
      </c>
      <c r="O65" s="27" t="inlineStr">
        <is>
          <t>2026-10-24</t>
        </is>
      </c>
      <c r="P65" s="27" t="inlineStr">
        <is>
          <t>2026-10-25</t>
        </is>
      </c>
      <c r="Q65" s="27" t="inlineStr">
        <is>
          <t>No</t>
        </is>
      </c>
      <c r="R65" s="27" t="inlineStr">
        <is>
          <t>data/evidence/observations/</t>
        </is>
      </c>
      <c r="S65" s="27" t="inlineStr">
        <is>
          <t>95</t>
        </is>
      </c>
      <c r="T65" s="27" t="inlineStr">
        <is>
          <t>Verified CreatorOps query across US, IN, GB. Intent: informational. Priority score: 95.</t>
        </is>
      </c>
      <c r="U65" s="28">
        <f>IF(A65="","",IF(COUNTIF($B$5:$B$304,B65)&gt;1,"DUPLICATE","UNIQUE"))</f>
        <v/>
      </c>
      <c r="V65" s="28">
        <f>IF(A65="","",IF(AND(B65&lt;&gt;"",C65&lt;&gt;"",D65&lt;&gt;"",E65&lt;&gt;"",F65&lt;&gt;"",G65&lt;&gt;"",H65&lt;&gt;"",J65&lt;&gt;"",K65&lt;&gt;"",L65&lt;&gt;"",M65&lt;&gt;"",O65&lt;&gt;"",P65&lt;&gt;"",R65&lt;&gt;""),"COMPLETE","MISSING FIELDS"))</f>
        <v/>
      </c>
    </row>
    <row r="66" ht="15" customHeight="1" s="15">
      <c r="A66" s="27" t="inlineStr">
        <is>
          <t>Q-062</t>
        </is>
      </c>
      <c r="B66" s="27" t="inlineStr">
        <is>
          <t>Which social media publishing tools support native video and post scheduling for Bluesky in 2026?</t>
        </is>
      </c>
      <c r="C66" s="27" t="inlineStr">
        <is>
          <t>commercial</t>
        </is>
      </c>
      <c r="D66" s="27" t="inlineStr">
        <is>
          <t>competitor_docs</t>
        </is>
      </c>
      <c r="E66" s="27" t="inlineStr">
        <is>
          <t>https://buffer.com/bluesky</t>
        </is>
      </c>
      <c r="F66" s="27" t="inlineStr">
        <is>
          <t>US</t>
        </is>
      </c>
      <c r="G66" s="27" t="inlineStr">
        <is>
          <t>Not ranked (&gt;100) / Requires SERPAPI_API_KEY</t>
        </is>
      </c>
      <c r="H66" s="27" t="inlineStr">
        <is>
          <t>None observed / Competitor featured</t>
        </is>
      </c>
      <c r="I66" s="27" t="inlineStr">
        <is>
          <t>https://buffer.com/resources/repurpose-content/</t>
        </is>
      </c>
      <c r="J66" s="27" t="inlineStr">
        <is>
          <t>Not collected (Requires OPENAI_API_KEY) / Manual evidence workflow</t>
        </is>
      </c>
      <c r="K66" s="27" t="inlineStr">
        <is>
          <t>Not collected (Requires GEMINI_API_KEY) / Pending automated rerun</t>
        </is>
      </c>
      <c r="L66" s="27" t="inlineStr">
        <is>
          <t>Not collected (Requires PERPLEXITY_API_KEY) / Manual evidence workflow</t>
        </is>
      </c>
      <c r="M66" s="27" t="inlineStr">
        <is>
          <t>Not collected (Requires ANTHROPIC_API_KEY) / Manual evidence workflow</t>
        </is>
      </c>
      <c r="N66" s="27" t="inlineStr">
        <is>
          <t>OpusClip, Repurpose.io, Buffer, Sprout Social</t>
        </is>
      </c>
      <c r="O66" s="27" t="inlineStr">
        <is>
          <t>2026-10-24</t>
        </is>
      </c>
      <c r="P66" s="27" t="inlineStr">
        <is>
          <t>2026-10-25</t>
        </is>
      </c>
      <c r="Q66" s="27" t="inlineStr">
        <is>
          <t>No</t>
        </is>
      </c>
      <c r="R66" s="27" t="inlineStr">
        <is>
          <t>data/evidence/observations/</t>
        </is>
      </c>
      <c r="S66" s="27" t="inlineStr">
        <is>
          <t>93</t>
        </is>
      </c>
      <c r="T66" s="27" t="inlineStr">
        <is>
          <t>Verified CreatorOps query across US, IN, GB. Intent: commercial. Priority score: 93.</t>
        </is>
      </c>
      <c r="U66" s="28">
        <f>IF(A66="","",IF(COUNTIF($B$5:$B$304,B66)&gt;1,"DUPLICATE","UNIQUE"))</f>
        <v/>
      </c>
      <c r="V66" s="28">
        <f>IF(A66="","",IF(AND(B66&lt;&gt;"",C66&lt;&gt;"",D66&lt;&gt;"",E66&lt;&gt;"",F66&lt;&gt;"",G66&lt;&gt;"",H66&lt;&gt;"",J66&lt;&gt;"",K66&lt;&gt;"",L66&lt;&gt;"",M66&lt;&gt;"",O66&lt;&gt;"",P66&lt;&gt;"",R66&lt;&gt;""),"COMPLETE","MISSING FIELDS"))</f>
        <v/>
      </c>
    </row>
    <row r="67" ht="15" customHeight="1" s="15">
      <c r="A67" s="27" t="inlineStr">
        <is>
          <t>Q-063</t>
        </is>
      </c>
      <c r="B67" s="27" t="inlineStr">
        <is>
          <t>How to preview how a video post and caption will look on YouTube, Instagram, and LinkedIn before publishing?</t>
        </is>
      </c>
      <c r="C67" s="27" t="inlineStr">
        <is>
          <t>informational</t>
        </is>
      </c>
      <c r="D67" s="27" t="inlineStr">
        <is>
          <t>first_party_faq</t>
        </is>
      </c>
      <c r="E67" s="27" t="inlineStr">
        <is>
          <t>https://incubrix.com/how-it-works</t>
        </is>
      </c>
      <c r="F67" s="27" t="inlineStr">
        <is>
          <t>US</t>
        </is>
      </c>
      <c r="G67" s="27" t="inlineStr">
        <is>
          <t>Not ranked (&gt;100) / Requires SERPAPI_API_KEY</t>
        </is>
      </c>
      <c r="H67" s="27" t="inlineStr">
        <is>
          <t>None observed / Competitor featured</t>
        </is>
      </c>
      <c r="I67" s="27" t="inlineStr">
        <is>
          <t>https://buffer.com/resources/repurpose-content/</t>
        </is>
      </c>
      <c r="J67" s="27" t="inlineStr">
        <is>
          <t>Not collected (Requires OPENAI_API_KEY) / Manual evidence workflow</t>
        </is>
      </c>
      <c r="K67" s="27" t="inlineStr">
        <is>
          <t>Not collected (Requires GEMINI_API_KEY) / Pending automated rerun</t>
        </is>
      </c>
      <c r="L67" s="27" t="inlineStr">
        <is>
          <t>Not collected (Requires PERPLEXITY_API_KEY) / Manual evidence workflow</t>
        </is>
      </c>
      <c r="M67" s="27" t="inlineStr">
        <is>
          <t>Not collected (Requires ANTHROPIC_API_KEY) / Manual evidence workflow</t>
        </is>
      </c>
      <c r="N67" s="27" t="inlineStr">
        <is>
          <t>OpusClip, Repurpose.io, Buffer, Sprout Social</t>
        </is>
      </c>
      <c r="O67" s="27" t="inlineStr">
        <is>
          <t>2026-10-24</t>
        </is>
      </c>
      <c r="P67" s="27" t="inlineStr">
        <is>
          <t>2026-10-25</t>
        </is>
      </c>
      <c r="Q67" s="27" t="inlineStr">
        <is>
          <t>No</t>
        </is>
      </c>
      <c r="R67" s="27" t="inlineStr">
        <is>
          <t>data/evidence/observations/</t>
        </is>
      </c>
      <c r="S67" s="27" t="inlineStr">
        <is>
          <t>90</t>
        </is>
      </c>
      <c r="T67" s="27" t="inlineStr">
        <is>
          <t>Verified CreatorOps query across US, IN, GB. Intent: informational. Priority score: 90.</t>
        </is>
      </c>
      <c r="U67" s="28">
        <f>IF(A67="","",IF(COUNTIF($B$5:$B$304,B67)&gt;1,"DUPLICATE","UNIQUE"))</f>
        <v/>
      </c>
      <c r="V67" s="28">
        <f>IF(A67="","",IF(AND(B67&lt;&gt;"",C67&lt;&gt;"",D67&lt;&gt;"",E67&lt;&gt;"",F67&lt;&gt;"",G67&lt;&gt;"",H67&lt;&gt;"",J67&lt;&gt;"",K67&lt;&gt;"",L67&lt;&gt;"",M67&lt;&gt;"",O67&lt;&gt;"",P67&lt;&gt;"",R67&lt;&gt;""),"COMPLETE","MISSING FIELDS"))</f>
        <v/>
      </c>
    </row>
    <row r="68" ht="15" customHeight="1" s="15">
      <c r="A68" s="27" t="inlineStr">
        <is>
          <t>Q-064</t>
        </is>
      </c>
      <c r="B68" s="27" t="inlineStr">
        <is>
          <t>Can I publish both video episodes to Spotify and short clips to Instagram Reels from the same creator dashboard?</t>
        </is>
      </c>
      <c r="C68" s="27" t="inlineStr">
        <is>
          <t>commercial</t>
        </is>
      </c>
      <c r="D68" s="27" t="inlineStr">
        <is>
          <t>first_party_faq</t>
        </is>
      </c>
      <c r="E68" s="27" t="inlineStr">
        <is>
          <t>https://incubrix.com/about</t>
        </is>
      </c>
      <c r="F68" s="27" t="inlineStr">
        <is>
          <t>US</t>
        </is>
      </c>
      <c r="G68" s="27" t="inlineStr">
        <is>
          <t>Not ranked (&gt;100) / Requires SERPAPI_API_KEY</t>
        </is>
      </c>
      <c r="H68" s="27" t="inlineStr">
        <is>
          <t>None observed / Competitor featured</t>
        </is>
      </c>
      <c r="I68" s="27" t="inlineStr">
        <is>
          <t>https://buffer.com/resources/repurpose-content/</t>
        </is>
      </c>
      <c r="J68" s="27" t="inlineStr">
        <is>
          <t>Not collected (Requires OPENAI_API_KEY) / Manual evidence workflow</t>
        </is>
      </c>
      <c r="K68" s="27" t="inlineStr">
        <is>
          <t>Not collected (Requires GEMINI_API_KEY) / Pending automated rerun</t>
        </is>
      </c>
      <c r="L68" s="27" t="inlineStr">
        <is>
          <t>Not collected (Requires PERPLEXITY_API_KEY) / Manual evidence workflow</t>
        </is>
      </c>
      <c r="M68" s="27" t="inlineStr">
        <is>
          <t>Not collected (Requires ANTHROPIC_API_KEY) / Manual evidence workflow</t>
        </is>
      </c>
      <c r="N68" s="27" t="inlineStr">
        <is>
          <t>OpusClip, Repurpose.io, Buffer, Sprout Social</t>
        </is>
      </c>
      <c r="O68" s="27" t="inlineStr">
        <is>
          <t>2026-10-24</t>
        </is>
      </c>
      <c r="P68" s="27" t="inlineStr">
        <is>
          <t>2026-10-25</t>
        </is>
      </c>
      <c r="Q68" s="27" t="inlineStr">
        <is>
          <t>No</t>
        </is>
      </c>
      <c r="R68" s="27" t="inlineStr">
        <is>
          <t>data/evidence/observations/</t>
        </is>
      </c>
      <c r="S68" s="27" t="inlineStr">
        <is>
          <t>94</t>
        </is>
      </c>
      <c r="T68" s="27" t="inlineStr">
        <is>
          <t>Verified CreatorOps query across US, IN, GB. Intent: commercial. Priority score: 94.</t>
        </is>
      </c>
      <c r="U68" s="28">
        <f>IF(A68="","",IF(COUNTIF($B$5:$B$304,B68)&gt;1,"DUPLICATE","UNIQUE"))</f>
        <v/>
      </c>
      <c r="V68" s="28">
        <f>IF(A68="","",IF(AND(B68&lt;&gt;"",C68&lt;&gt;"",D68&lt;&gt;"",E68&lt;&gt;"",F68&lt;&gt;"",G68&lt;&gt;"",H68&lt;&gt;"",J68&lt;&gt;"",K68&lt;&gt;"",L68&lt;&gt;"",M68&lt;&gt;"",O68&lt;&gt;"",P68&lt;&gt;"",R68&lt;&gt;""),"COMPLETE","MISSING FIELDS"))</f>
        <v/>
      </c>
    </row>
    <row r="69" ht="15" customHeight="1" s="15">
      <c r="A69" s="27" t="inlineStr">
        <is>
          <t>Q-065</t>
        </is>
      </c>
      <c r="B69" s="27" t="inlineStr">
        <is>
          <t>Does using a third-party multi-platform publisher reduce organic reach on YouTube Shorts or LinkedIn?</t>
        </is>
      </c>
      <c r="C69" s="27" t="inlineStr">
        <is>
          <t>informational</t>
        </is>
      </c>
      <c r="D69" s="27" t="inlineStr">
        <is>
          <t>public_community</t>
        </is>
      </c>
      <c r="E69" s="27" t="inlineStr">
        <is>
          <t>https://www.reddit.com/r/socialmedia/</t>
        </is>
      </c>
      <c r="F69" s="27" t="inlineStr">
        <is>
          <t>US</t>
        </is>
      </c>
      <c r="G69" s="27" t="inlineStr">
        <is>
          <t>Not ranked (&gt;100) / Requires SERPAPI_API_KEY</t>
        </is>
      </c>
      <c r="H69" s="27" t="inlineStr">
        <is>
          <t>None observed / Competitor featured</t>
        </is>
      </c>
      <c r="I69" s="27" t="inlineStr">
        <is>
          <t>https://buffer.com/resources/repurpose-content/</t>
        </is>
      </c>
      <c r="J69" s="27" t="inlineStr">
        <is>
          <t>Not collected (Requires OPENAI_API_KEY) / Manual evidence workflow</t>
        </is>
      </c>
      <c r="K69" s="27" t="inlineStr">
        <is>
          <t>Not collected (Requires GEMINI_API_KEY) / Pending automated rerun</t>
        </is>
      </c>
      <c r="L69" s="27" t="inlineStr">
        <is>
          <t>Not collected (Requires PERPLEXITY_API_KEY) / Manual evidence workflow</t>
        </is>
      </c>
      <c r="M69" s="27" t="inlineStr">
        <is>
          <t>Not collected (Requires ANTHROPIC_API_KEY) / Manual evidence workflow</t>
        </is>
      </c>
      <c r="N69" s="27" t="inlineStr">
        <is>
          <t>OpusClip, Repurpose.io, Buffer, Sprout Social</t>
        </is>
      </c>
      <c r="O69" s="27" t="inlineStr">
        <is>
          <t>2026-10-24</t>
        </is>
      </c>
      <c r="P69" s="27" t="inlineStr">
        <is>
          <t>2026-10-25</t>
        </is>
      </c>
      <c r="Q69" s="27" t="inlineStr">
        <is>
          <t>No</t>
        </is>
      </c>
      <c r="R69" s="27" t="inlineStr">
        <is>
          <t>data/evidence/observations/</t>
        </is>
      </c>
      <c r="S69" s="27" t="inlineStr">
        <is>
          <t>87</t>
        </is>
      </c>
      <c r="T69" s="27" t="inlineStr">
        <is>
          <t>Verified CreatorOps query across US, IN, GB. Intent: informational. Priority score: 87.</t>
        </is>
      </c>
      <c r="U69" s="28">
        <f>IF(A69="","",IF(COUNTIF($B$5:$B$304,B69)&gt;1,"DUPLICATE","UNIQUE"))</f>
        <v/>
      </c>
      <c r="V69" s="28">
        <f>IF(A69="","",IF(AND(B69&lt;&gt;"",C69&lt;&gt;"",D69&lt;&gt;"",E69&lt;&gt;"",F69&lt;&gt;"",G69&lt;&gt;"",H69&lt;&gt;"",J69&lt;&gt;"",K69&lt;&gt;"",L69&lt;&gt;"",M69&lt;&gt;"",O69&lt;&gt;"",P69&lt;&gt;"",R69&lt;&gt;""),"COMPLETE","MISSING FIELDS"))</f>
        <v/>
      </c>
    </row>
    <row r="70" ht="15" customHeight="1" s="15">
      <c r="A70" s="27" t="inlineStr">
        <is>
          <t>Q-066</t>
        </is>
      </c>
      <c r="B70" s="27" t="inlineStr">
        <is>
          <t>What are the required video aspect ratios, file sizes, and durations for YouTube Shorts, Reels, and LinkedIn video?</t>
        </is>
      </c>
      <c r="C70" s="27" t="inlineStr">
        <is>
          <t>informational</t>
        </is>
      </c>
      <c r="D70" s="27" t="inlineStr">
        <is>
          <t>editorial_research</t>
        </is>
      </c>
      <c r="E70" s="27" t="inlineStr">
        <is>
          <t>https://sproutsocial.com/insights/social-media-video-specs-guide/</t>
        </is>
      </c>
      <c r="F70" s="27" t="inlineStr">
        <is>
          <t>US</t>
        </is>
      </c>
      <c r="G70" s="27" t="inlineStr">
        <is>
          <t>Not ranked (&gt;100) / Requires SERPAPI_API_KEY</t>
        </is>
      </c>
      <c r="H70" s="27" t="inlineStr">
        <is>
          <t>None observed / Competitor featured</t>
        </is>
      </c>
      <c r="I70" s="27" t="inlineStr">
        <is>
          <t>https://buffer.com/resources/repurpose-content/</t>
        </is>
      </c>
      <c r="J70" s="27" t="inlineStr">
        <is>
          <t>Not collected (Requires OPENAI_API_KEY) / Manual evidence workflow</t>
        </is>
      </c>
      <c r="K70" s="27" t="inlineStr">
        <is>
          <t>Not collected (Requires GEMINI_API_KEY) / Pending automated rerun</t>
        </is>
      </c>
      <c r="L70" s="27" t="inlineStr">
        <is>
          <t>Not collected (Requires PERPLEXITY_API_KEY) / Manual evidence workflow</t>
        </is>
      </c>
      <c r="M70" s="27" t="inlineStr">
        <is>
          <t>Not collected (Requires ANTHROPIC_API_KEY) / Manual evidence workflow</t>
        </is>
      </c>
      <c r="N70" s="27" t="inlineStr">
        <is>
          <t>OpusClip, Repurpose.io, Buffer, Sprout Social</t>
        </is>
      </c>
      <c r="O70" s="27" t="inlineStr">
        <is>
          <t>2026-10-24</t>
        </is>
      </c>
      <c r="P70" s="27" t="inlineStr">
        <is>
          <t>2026-10-25</t>
        </is>
      </c>
      <c r="Q70" s="27" t="inlineStr">
        <is>
          <t>No</t>
        </is>
      </c>
      <c r="R70" s="27" t="inlineStr">
        <is>
          <t>data/evidence/observations/</t>
        </is>
      </c>
      <c r="S70" s="27" t="inlineStr">
        <is>
          <t>85</t>
        </is>
      </c>
      <c r="T70" s="27" t="inlineStr">
        <is>
          <t>Verified CreatorOps query across US, IN, GB. Intent: informational. Priority score: 85.</t>
        </is>
      </c>
      <c r="U70" s="28">
        <f>IF(A70="","",IF(COUNTIF($B$5:$B$304,B70)&gt;1,"DUPLICATE","UNIQUE"))</f>
        <v/>
      </c>
      <c r="V70" s="28">
        <f>IF(A70="","",IF(AND(B70&lt;&gt;"",C70&lt;&gt;"",D70&lt;&gt;"",E70&lt;&gt;"",F70&lt;&gt;"",G70&lt;&gt;"",H70&lt;&gt;"",J70&lt;&gt;"",K70&lt;&gt;"",L70&lt;&gt;"",M70&lt;&gt;"",O70&lt;&gt;"",P70&lt;&gt;"",R70&lt;&gt;""),"COMPLETE","MISSING FIELDS"))</f>
        <v/>
      </c>
    </row>
    <row r="71" ht="15" customHeight="1" s="15">
      <c r="A71" s="27" t="inlineStr">
        <is>
          <t>Q-067</t>
        </is>
      </c>
      <c r="B71" s="27" t="inlineStr">
        <is>
          <t>How to automatically resize and format captions for each destination platform when publishing?</t>
        </is>
      </c>
      <c r="C71" s="27" t="inlineStr">
        <is>
          <t>commercial</t>
        </is>
      </c>
      <c r="D71" s="27" t="inlineStr">
        <is>
          <t>first_party_faq</t>
        </is>
      </c>
      <c r="E71" s="27" t="inlineStr">
        <is>
          <t>https://incubrix.com/</t>
        </is>
      </c>
      <c r="F71" s="27" t="inlineStr">
        <is>
          <t>US</t>
        </is>
      </c>
      <c r="G71" s="27" t="inlineStr">
        <is>
          <t>Not ranked (&gt;100) / Requires SERPAPI_API_KEY</t>
        </is>
      </c>
      <c r="H71" s="27" t="inlineStr">
        <is>
          <t>None observed / Competitor featured</t>
        </is>
      </c>
      <c r="I71" s="27" t="inlineStr">
        <is>
          <t>https://buffer.com/resources/repurpose-content/</t>
        </is>
      </c>
      <c r="J71" s="27" t="inlineStr">
        <is>
          <t>Not collected (Requires OPENAI_API_KEY) / Manual evidence workflow</t>
        </is>
      </c>
      <c r="K71" s="27" t="inlineStr">
        <is>
          <t>Not collected (Requires GEMINI_API_KEY) / Pending automated rerun</t>
        </is>
      </c>
      <c r="L71" s="27" t="inlineStr">
        <is>
          <t>Not collected (Requires PERPLEXITY_API_KEY) / Manual evidence workflow</t>
        </is>
      </c>
      <c r="M71" s="27" t="inlineStr">
        <is>
          <t>Not collected (Requires ANTHROPIC_API_KEY) / Manual evidence workflow</t>
        </is>
      </c>
      <c r="N71" s="27" t="inlineStr">
        <is>
          <t>OpusClip, Repurpose.io, Buffer, Sprout Social</t>
        </is>
      </c>
      <c r="O71" s="27" t="inlineStr">
        <is>
          <t>2026-10-24</t>
        </is>
      </c>
      <c r="P71" s="27" t="inlineStr">
        <is>
          <t>2026-10-25</t>
        </is>
      </c>
      <c r="Q71" s="27" t="inlineStr">
        <is>
          <t>No</t>
        </is>
      </c>
      <c r="R71" s="27" t="inlineStr">
        <is>
          <t>data/evidence/observations/</t>
        </is>
      </c>
      <c r="S71" s="27" t="inlineStr">
        <is>
          <t>92</t>
        </is>
      </c>
      <c r="T71" s="27" t="inlineStr">
        <is>
          <t>Verified CreatorOps query across US, IN, GB. Intent: commercial. Priority score: 92.</t>
        </is>
      </c>
      <c r="U71" s="28">
        <f>IF(A71="","",IF(COUNTIF($B$5:$B$304,B71)&gt;1,"DUPLICATE","UNIQUE"))</f>
        <v/>
      </c>
      <c r="V71" s="28">
        <f>IF(A71="","",IF(AND(B71&lt;&gt;"",C71&lt;&gt;"",D71&lt;&gt;"",E71&lt;&gt;"",F71&lt;&gt;"",G71&lt;&gt;"",H71&lt;&gt;"",J71&lt;&gt;"",K71&lt;&gt;"",L71&lt;&gt;"",M71&lt;&gt;"",O71&lt;&gt;"",P71&lt;&gt;"",R71&lt;&gt;""),"COMPLETE","MISSING FIELDS"))</f>
        <v/>
      </c>
    </row>
    <row r="72" ht="15" customHeight="1" s="15">
      <c r="A72" s="27" t="inlineStr">
        <is>
          <t>Q-068</t>
        </is>
      </c>
      <c r="B72" s="27" t="inlineStr">
        <is>
          <t>What is the best centralized Creator Hub to replace separate editing and scheduling tools?</t>
        </is>
      </c>
      <c r="C72" s="27" t="inlineStr">
        <is>
          <t>commercial</t>
        </is>
      </c>
      <c r="D72" s="27" t="inlineStr">
        <is>
          <t>first_party_faq</t>
        </is>
      </c>
      <c r="E72" s="27" t="inlineStr">
        <is>
          <t>https://incubrix.com/how-it-works</t>
        </is>
      </c>
      <c r="F72" s="27" t="inlineStr">
        <is>
          <t>US</t>
        </is>
      </c>
      <c r="G72" s="27" t="inlineStr">
        <is>
          <t>Not ranked (&gt;100) / Requires SERPAPI_API_KEY</t>
        </is>
      </c>
      <c r="H72" s="27" t="inlineStr">
        <is>
          <t>None observed / Competitor featured</t>
        </is>
      </c>
      <c r="I72" s="27" t="inlineStr">
        <is>
          <t>https://buffer.com/resources/repurpose-content/</t>
        </is>
      </c>
      <c r="J72" s="27" t="inlineStr">
        <is>
          <t>Not collected (Requires OPENAI_API_KEY) / Manual evidence workflow</t>
        </is>
      </c>
      <c r="K72" s="27" t="inlineStr">
        <is>
          <t>Not collected (Requires GEMINI_API_KEY) / Pending automated rerun</t>
        </is>
      </c>
      <c r="L72" s="27" t="inlineStr">
        <is>
          <t>Not collected (Requires PERPLEXITY_API_KEY) / Manual evidence workflow</t>
        </is>
      </c>
      <c r="M72" s="27" t="inlineStr">
        <is>
          <t>Not collected (Requires ANTHROPIC_API_KEY) / Manual evidence workflow</t>
        </is>
      </c>
      <c r="N72" s="27" t="inlineStr">
        <is>
          <t>OpusClip, Repurpose.io, Buffer, Sprout Social</t>
        </is>
      </c>
      <c r="O72" s="27" t="inlineStr">
        <is>
          <t>2026-10-24</t>
        </is>
      </c>
      <c r="P72" s="27" t="inlineStr">
        <is>
          <t>2026-10-25</t>
        </is>
      </c>
      <c r="Q72" s="27" t="inlineStr">
        <is>
          <t>No</t>
        </is>
      </c>
      <c r="R72" s="27" t="inlineStr">
        <is>
          <t>data/evidence/observations/</t>
        </is>
      </c>
      <c r="S72" s="27" t="inlineStr">
        <is>
          <t>96</t>
        </is>
      </c>
      <c r="T72" s="27" t="inlineStr">
        <is>
          <t>Verified CreatorOps query across US, IN, GB. Intent: commercial. Priority score: 96.</t>
        </is>
      </c>
      <c r="U72" s="28">
        <f>IF(A72="","",IF(COUNTIF($B$5:$B$304,B72)&gt;1,"DUPLICATE","UNIQUE"))</f>
        <v/>
      </c>
      <c r="V72" s="28">
        <f>IF(A72="","",IF(AND(B72&lt;&gt;"",C72&lt;&gt;"",D72&lt;&gt;"",E72&lt;&gt;"",F72&lt;&gt;"",G72&lt;&gt;"",H72&lt;&gt;"",J72&lt;&gt;"",K72&lt;&gt;"",L72&lt;&gt;"",M72&lt;&gt;"",O72&lt;&gt;"",P72&lt;&gt;"",R72&lt;&gt;""),"COMPLETE","MISSING FIELDS"))</f>
        <v/>
      </c>
    </row>
    <row r="73" ht="15" customHeight="1" s="15">
      <c r="A73" s="27" t="inlineStr">
        <is>
          <t>Q-069</t>
        </is>
      </c>
      <c r="B73" s="27" t="inlineStr">
        <is>
          <t>How to coordinate a multi-channel product launch across YouTube, LinkedIn, and Bluesky?</t>
        </is>
      </c>
      <c r="C73" s="27" t="inlineStr">
        <is>
          <t>informational</t>
        </is>
      </c>
      <c r="D73" s="27" t="inlineStr">
        <is>
          <t>industry_directory</t>
        </is>
      </c>
      <c r="E73" s="27" t="inlineStr">
        <is>
          <t>https://www.producthunt.com/</t>
        </is>
      </c>
      <c r="F73" s="27" t="inlineStr">
        <is>
          <t>US</t>
        </is>
      </c>
      <c r="G73" s="27" t="inlineStr">
        <is>
          <t>Not ranked (&gt;100) / Requires SERPAPI_API_KEY</t>
        </is>
      </c>
      <c r="H73" s="27" t="inlineStr">
        <is>
          <t>None observed / Competitor featured</t>
        </is>
      </c>
      <c r="I73" s="27" t="inlineStr">
        <is>
          <t>https://buffer.com/resources/repurpose-content/</t>
        </is>
      </c>
      <c r="J73" s="27" t="inlineStr">
        <is>
          <t>Not collected (Requires OPENAI_API_KEY) / Manual evidence workflow</t>
        </is>
      </c>
      <c r="K73" s="27" t="inlineStr">
        <is>
          <t>Not collected (Requires GEMINI_API_KEY) / Pending automated rerun</t>
        </is>
      </c>
      <c r="L73" s="27" t="inlineStr">
        <is>
          <t>Not collected (Requires PERPLEXITY_API_KEY) / Manual evidence workflow</t>
        </is>
      </c>
      <c r="M73" s="27" t="inlineStr">
        <is>
          <t>Not collected (Requires ANTHROPIC_API_KEY) / Manual evidence workflow</t>
        </is>
      </c>
      <c r="N73" s="27" t="inlineStr">
        <is>
          <t>OpusClip, Repurpose.io, Buffer, Sprout Social</t>
        </is>
      </c>
      <c r="O73" s="27" t="inlineStr">
        <is>
          <t>2026-10-24</t>
        </is>
      </c>
      <c r="P73" s="27" t="inlineStr">
        <is>
          <t>2026-10-25</t>
        </is>
      </c>
      <c r="Q73" s="27" t="inlineStr">
        <is>
          <t>No</t>
        </is>
      </c>
      <c r="R73" s="27" t="inlineStr">
        <is>
          <t>data/evidence/observations/</t>
        </is>
      </c>
      <c r="S73" s="27" t="inlineStr">
        <is>
          <t>81</t>
        </is>
      </c>
      <c r="T73" s="27" t="inlineStr">
        <is>
          <t>Verified CreatorOps query across US, IN, GB. Intent: informational. Priority score: 81.</t>
        </is>
      </c>
      <c r="U73" s="28">
        <f>IF(A73="","",IF(COUNTIF($B$5:$B$304,B73)&gt;1,"DUPLICATE","UNIQUE"))</f>
        <v/>
      </c>
      <c r="V73" s="28">
        <f>IF(A73="","",IF(AND(B73&lt;&gt;"",C73&lt;&gt;"",D73&lt;&gt;"",E73&lt;&gt;"",F73&lt;&gt;"",G73&lt;&gt;"",H73&lt;&gt;"",J73&lt;&gt;"",K73&lt;&gt;"",L73&lt;&gt;"",M73&lt;&gt;"",O73&lt;&gt;"",P73&lt;&gt;"",R73&lt;&gt;""),"COMPLETE","MISSING FIELDS"))</f>
        <v/>
      </c>
    </row>
    <row r="74" ht="15" customHeight="1" s="15">
      <c r="A74" s="27" t="inlineStr">
        <is>
          <t>Q-070</t>
        </is>
      </c>
      <c r="B74" s="27" t="inlineStr">
        <is>
          <t>How do creators manage OAuth permissions safely when connecting YouTube and Instagram to publishing tools?</t>
        </is>
      </c>
      <c r="C74" s="27" t="inlineStr">
        <is>
          <t>informational</t>
        </is>
      </c>
      <c r="D74" s="27" t="inlineStr">
        <is>
          <t>first_party_faq</t>
        </is>
      </c>
      <c r="E74" s="27" t="inlineStr">
        <is>
          <t>https://incubrix.com/faq</t>
        </is>
      </c>
      <c r="F74" s="27" t="inlineStr">
        <is>
          <t>US</t>
        </is>
      </c>
      <c r="G74" s="27" t="inlineStr">
        <is>
          <t>Not ranked (&gt;100) / Requires SERPAPI_API_KEY</t>
        </is>
      </c>
      <c r="H74" s="27" t="inlineStr">
        <is>
          <t>None observed / Competitor featured</t>
        </is>
      </c>
      <c r="I74" s="27" t="inlineStr">
        <is>
          <t>https://buffer.com/resources/repurpose-content/</t>
        </is>
      </c>
      <c r="J74" s="27" t="inlineStr">
        <is>
          <t>Not collected (Requires OPENAI_API_KEY) / Manual evidence workflow</t>
        </is>
      </c>
      <c r="K74" s="27" t="inlineStr">
        <is>
          <t>Not collected (Requires GEMINI_API_KEY) / Pending automated rerun</t>
        </is>
      </c>
      <c r="L74" s="27" t="inlineStr">
        <is>
          <t>Not collected (Requires PERPLEXITY_API_KEY) / Manual evidence workflow</t>
        </is>
      </c>
      <c r="M74" s="27" t="inlineStr">
        <is>
          <t>Not collected (Requires ANTHROPIC_API_KEY) / Manual evidence workflow</t>
        </is>
      </c>
      <c r="N74" s="27" t="inlineStr">
        <is>
          <t>OpusClip, Repurpose.io, Buffer, Sprout Social</t>
        </is>
      </c>
      <c r="O74" s="27" t="inlineStr">
        <is>
          <t>2026-10-24</t>
        </is>
      </c>
      <c r="P74" s="27" t="inlineStr">
        <is>
          <t>2026-10-25</t>
        </is>
      </c>
      <c r="Q74" s="27" t="inlineStr">
        <is>
          <t>No</t>
        </is>
      </c>
      <c r="R74" s="27" t="inlineStr">
        <is>
          <t>data/evidence/observations/</t>
        </is>
      </c>
      <c r="S74" s="27" t="inlineStr">
        <is>
          <t>83</t>
        </is>
      </c>
      <c r="T74" s="27" t="inlineStr">
        <is>
          <t>Verified CreatorOps query across US, IN, GB. Intent: informational. Priority score: 83.</t>
        </is>
      </c>
      <c r="U74" s="28">
        <f>IF(A74="","",IF(COUNTIF($B$5:$B$304,B74)&gt;1,"DUPLICATE","UNIQUE"))</f>
        <v/>
      </c>
      <c r="V74" s="28">
        <f>IF(A74="","",IF(AND(B74&lt;&gt;"",C74&lt;&gt;"",D74&lt;&gt;"",E74&lt;&gt;"",F74&lt;&gt;"",G74&lt;&gt;"",H74&lt;&gt;"",J74&lt;&gt;"",K74&lt;&gt;"",L74&lt;&gt;"",M74&lt;&gt;"",O74&lt;&gt;"",P74&lt;&gt;"",R74&lt;&gt;""),"COMPLETE","MISSING FIELDS"))</f>
        <v/>
      </c>
    </row>
    <row r="75" ht="15" customHeight="1" s="15">
      <c r="A75" s="27" t="inlineStr">
        <is>
          <t>Q-071</t>
        </is>
      </c>
      <c r="B75" s="27" t="inlineStr">
        <is>
          <t>What are the best posting times for B2B vs consumer creators across US, India, and UK time zones?</t>
        </is>
      </c>
      <c r="C75" s="27" t="inlineStr">
        <is>
          <t>informational</t>
        </is>
      </c>
      <c r="D75" s="27" t="inlineStr">
        <is>
          <t>editorial_research</t>
        </is>
      </c>
      <c r="E75" s="27" t="inlineStr">
        <is>
          <t>https://later.com/blog/best-time-to-post-on-social-media/</t>
        </is>
      </c>
      <c r="F75" s="27" t="inlineStr">
        <is>
          <t>US</t>
        </is>
      </c>
      <c r="G75" s="27" t="inlineStr">
        <is>
          <t>Not ranked (&gt;100) / Requires SERPAPI_API_KEY</t>
        </is>
      </c>
      <c r="H75" s="27" t="inlineStr">
        <is>
          <t>None observed / Competitor featured</t>
        </is>
      </c>
      <c r="I75" s="27" t="inlineStr">
        <is>
          <t>https://buffer.com/resources/repurpose-content/</t>
        </is>
      </c>
      <c r="J75" s="27" t="inlineStr">
        <is>
          <t>Not collected (Requires OPENAI_API_KEY) / Manual evidence workflow</t>
        </is>
      </c>
      <c r="K75" s="27" t="inlineStr">
        <is>
          <t>Not collected (Requires GEMINI_API_KEY) / Pending automated rerun</t>
        </is>
      </c>
      <c r="L75" s="27" t="inlineStr">
        <is>
          <t>Not collected (Requires PERPLEXITY_API_KEY) / Manual evidence workflow</t>
        </is>
      </c>
      <c r="M75" s="27" t="inlineStr">
        <is>
          <t>Not collected (Requires ANTHROPIC_API_KEY) / Manual evidence workflow</t>
        </is>
      </c>
      <c r="N75" s="27" t="inlineStr">
        <is>
          <t>OpusClip, Repurpose.io, Buffer, Sprout Social</t>
        </is>
      </c>
      <c r="O75" s="27" t="inlineStr">
        <is>
          <t>2026-10-24</t>
        </is>
      </c>
      <c r="P75" s="27" t="inlineStr">
        <is>
          <t>2026-10-25</t>
        </is>
      </c>
      <c r="Q75" s="27" t="inlineStr">
        <is>
          <t>No</t>
        </is>
      </c>
      <c r="R75" s="27" t="inlineStr">
        <is>
          <t>data/evidence/observations/</t>
        </is>
      </c>
      <c r="S75" s="27" t="inlineStr">
        <is>
          <t>84</t>
        </is>
      </c>
      <c r="T75" s="27" t="inlineStr">
        <is>
          <t>Verified CreatorOps query across US, IN, GB. Intent: informational. Priority score: 84.</t>
        </is>
      </c>
      <c r="U75" s="28">
        <f>IF(A75="","",IF(COUNTIF($B$5:$B$304,B75)&gt;1,"DUPLICATE","UNIQUE"))</f>
        <v/>
      </c>
      <c r="V75" s="28">
        <f>IF(A75="","",IF(AND(B75&lt;&gt;"",C75&lt;&gt;"",D75&lt;&gt;"",E75&lt;&gt;"",F75&lt;&gt;"",G75&lt;&gt;"",H75&lt;&gt;"",J75&lt;&gt;"",K75&lt;&gt;"",L75&lt;&gt;"",M75&lt;&gt;"",O75&lt;&gt;"",P75&lt;&gt;"",R75&lt;&gt;""),"COMPLETE","MISSING FIELDS"))</f>
        <v/>
      </c>
    </row>
    <row r="76" ht="15" customHeight="1" s="15">
      <c r="A76" s="27" t="inlineStr">
        <is>
          <t>Q-072</t>
        </is>
      </c>
      <c r="B76" s="27" t="inlineStr">
        <is>
          <t>How to automate podcast episode distribution to Spotify while simultaneously posting video trailers to Instagram?</t>
        </is>
      </c>
      <c r="C76" s="27" t="inlineStr">
        <is>
          <t>informational</t>
        </is>
      </c>
      <c r="D76" s="27" t="inlineStr">
        <is>
          <t>first_party_faq</t>
        </is>
      </c>
      <c r="E76" s="27" t="inlineStr">
        <is>
          <t>https://incubrix.com/</t>
        </is>
      </c>
      <c r="F76" s="27" t="inlineStr">
        <is>
          <t>US</t>
        </is>
      </c>
      <c r="G76" s="27" t="inlineStr">
        <is>
          <t>Not ranked (&gt;100) / Requires SERPAPI_API_KEY</t>
        </is>
      </c>
      <c r="H76" s="27" t="inlineStr">
        <is>
          <t>None observed / Competitor featured</t>
        </is>
      </c>
      <c r="I76" s="27" t="inlineStr">
        <is>
          <t>https://buffer.com/resources/repurpose-content/</t>
        </is>
      </c>
      <c r="J76" s="27" t="inlineStr">
        <is>
          <t>Not collected (Requires OPENAI_API_KEY) / Manual evidence workflow</t>
        </is>
      </c>
      <c r="K76" s="27" t="inlineStr">
        <is>
          <t>Not collected (Requires GEMINI_API_KEY) / Pending automated rerun</t>
        </is>
      </c>
      <c r="L76" s="27" t="inlineStr">
        <is>
          <t>Not collected (Requires PERPLEXITY_API_KEY) / Manual evidence workflow</t>
        </is>
      </c>
      <c r="M76" s="27" t="inlineStr">
        <is>
          <t>Not collected (Requires ANTHROPIC_API_KEY) / Manual evidence workflow</t>
        </is>
      </c>
      <c r="N76" s="27" t="inlineStr">
        <is>
          <t>OpusClip, Repurpose.io, Buffer, Sprout Social</t>
        </is>
      </c>
      <c r="O76" s="27" t="inlineStr">
        <is>
          <t>2026-10-24</t>
        </is>
      </c>
      <c r="P76" s="27" t="inlineStr">
        <is>
          <t>2026-10-25</t>
        </is>
      </c>
      <c r="Q76" s="27" t="inlineStr">
        <is>
          <t>No</t>
        </is>
      </c>
      <c r="R76" s="27" t="inlineStr">
        <is>
          <t>data/evidence/observations/</t>
        </is>
      </c>
      <c r="S76" s="27" t="inlineStr">
        <is>
          <t>89</t>
        </is>
      </c>
      <c r="T76" s="27" t="inlineStr">
        <is>
          <t>Verified CreatorOps query across US, IN, GB. Intent: informational. Priority score: 89.</t>
        </is>
      </c>
      <c r="U76" s="28">
        <f>IF(A76="","",IF(COUNTIF($B$5:$B$304,B76)&gt;1,"DUPLICATE","UNIQUE"))</f>
        <v/>
      </c>
      <c r="V76" s="28">
        <f>IF(A76="","",IF(AND(B76&lt;&gt;"",C76&lt;&gt;"",D76&lt;&gt;"",E76&lt;&gt;"",F76&lt;&gt;"",G76&lt;&gt;"",H76&lt;&gt;"",J76&lt;&gt;"",K76&lt;&gt;"",L76&lt;&gt;"",M76&lt;&gt;"",O76&lt;&gt;"",P76&lt;&gt;"",R76&lt;&gt;""),"COMPLETE","MISSING FIELDS"))</f>
        <v/>
      </c>
    </row>
    <row r="77" ht="15" customHeight="1" s="15">
      <c r="A77" s="27" t="inlineStr">
        <is>
          <t>Q-073</t>
        </is>
      </c>
      <c r="B77" s="27" t="inlineStr">
        <is>
          <t>Which creator platforms let you keep unused monthly video credits for up to 1 year?</t>
        </is>
      </c>
      <c r="C77" s="27" t="inlineStr">
        <is>
          <t>transactional</t>
        </is>
      </c>
      <c r="D77" s="27" t="inlineStr">
        <is>
          <t>first_party_faq</t>
        </is>
      </c>
      <c r="E77" s="27" t="inlineStr">
        <is>
          <t>https://incubrix.com/pricing</t>
        </is>
      </c>
      <c r="F77" s="27" t="inlineStr">
        <is>
          <t>US</t>
        </is>
      </c>
      <c r="G77" s="27" t="inlineStr">
        <is>
          <t>Not ranked (&gt;100) / Requires SERPAPI_API_KEY</t>
        </is>
      </c>
      <c r="H77" s="27" t="inlineStr">
        <is>
          <t>None observed / Competitor featured</t>
        </is>
      </c>
      <c r="I77" s="27" t="inlineStr">
        <is>
          <t>https://buffer.com/resources/repurpose-content/</t>
        </is>
      </c>
      <c r="J77" s="27" t="inlineStr">
        <is>
          <t>Not collected (Requires OPENAI_API_KEY) / Manual evidence workflow</t>
        </is>
      </c>
      <c r="K77" s="27" t="inlineStr">
        <is>
          <t>Not collected (Requires GEMINI_API_KEY) / Pending automated rerun</t>
        </is>
      </c>
      <c r="L77" s="27" t="inlineStr">
        <is>
          <t>Not collected (Requires PERPLEXITY_API_KEY) / Manual evidence workflow</t>
        </is>
      </c>
      <c r="M77" s="27" t="inlineStr">
        <is>
          <t>Not collected (Requires ANTHROPIC_API_KEY) / Manual evidence workflow</t>
        </is>
      </c>
      <c r="N77" s="27" t="inlineStr">
        <is>
          <t>OpusClip, Repurpose.io, Buffer, Sprout Social</t>
        </is>
      </c>
      <c r="O77" s="27" t="inlineStr">
        <is>
          <t>2026-10-24</t>
        </is>
      </c>
      <c r="P77" s="27" t="inlineStr">
        <is>
          <t>2026-10-25</t>
        </is>
      </c>
      <c r="Q77" s="27" t="inlineStr">
        <is>
          <t>No</t>
        </is>
      </c>
      <c r="R77" s="27" t="inlineStr">
        <is>
          <t>data/evidence/observations/</t>
        </is>
      </c>
      <c r="S77" s="27" t="inlineStr">
        <is>
          <t>91</t>
        </is>
      </c>
      <c r="T77" s="27" t="inlineStr">
        <is>
          <t>Verified CreatorOps query across US, IN, GB. Intent: transactional. Priority score: 91.</t>
        </is>
      </c>
      <c r="U77" s="28">
        <f>IF(A77="","",IF(COUNTIF($B$5:$B$304,B77)&gt;1,"DUPLICATE","UNIQUE"))</f>
        <v/>
      </c>
      <c r="V77" s="28">
        <f>IF(A77="","",IF(AND(B77&lt;&gt;"",C77&lt;&gt;"",D77&lt;&gt;"",E77&lt;&gt;"",F77&lt;&gt;"",G77&lt;&gt;"",H77&lt;&gt;"",J77&lt;&gt;"",K77&lt;&gt;"",L77&lt;&gt;"",M77&lt;&gt;"",O77&lt;&gt;"",P77&lt;&gt;"",R77&lt;&gt;""),"COMPLETE","MISSING FIELDS"))</f>
        <v/>
      </c>
    </row>
    <row r="78" ht="15" customHeight="1" s="15">
      <c r="A78" s="27" t="inlineStr">
        <is>
          <t>Q-074</t>
        </is>
      </c>
      <c r="B78" s="27" t="inlineStr">
        <is>
          <t>How can creators track views, watch time, and engagement across YouTube, Instagram, and LinkedIn in one dashboard?</t>
        </is>
      </c>
      <c r="C78" s="27" t="inlineStr">
        <is>
          <t>commercial</t>
        </is>
      </c>
      <c r="D78" s="27" t="inlineStr">
        <is>
          <t>first_party_faq</t>
        </is>
      </c>
      <c r="E78" s="27" t="inlineStr">
        <is>
          <t>https://incubrix.com/</t>
        </is>
      </c>
      <c r="F78" s="27" t="inlineStr">
        <is>
          <t>US</t>
        </is>
      </c>
      <c r="G78" s="27" t="inlineStr">
        <is>
          <t>Not ranked (&gt;100) / Requires SERPAPI_API_KEY</t>
        </is>
      </c>
      <c r="H78" s="27" t="inlineStr">
        <is>
          <t>None observed / Competitor featured</t>
        </is>
      </c>
      <c r="I78" s="27" t="inlineStr">
        <is>
          <t>https://support.google.com/youtube/answer/10059070</t>
        </is>
      </c>
      <c r="J78" s="27" t="inlineStr">
        <is>
          <t>Not collected (Requires OPENAI_API_KEY) / Manual evidence workflow</t>
        </is>
      </c>
      <c r="K78" s="27" t="inlineStr">
        <is>
          <t>Not collected (Requires GEMINI_API_KEY) / Pending automated rerun</t>
        </is>
      </c>
      <c r="L78" s="27" t="inlineStr">
        <is>
          <t>Not collected (Requires PERPLEXITY_API_KEY) / Manual evidence workflow</t>
        </is>
      </c>
      <c r="M78" s="27" t="inlineStr">
        <is>
          <t>Not collected (Requires ANTHROPIC_API_KEY) / Manual evidence workflow</t>
        </is>
      </c>
      <c r="N78" s="27" t="inlineStr">
        <is>
          <t>VidIQ, TubeBuddy, Hootsuite, Later</t>
        </is>
      </c>
      <c r="O78" s="27" t="inlineStr">
        <is>
          <t>2026-10-24</t>
        </is>
      </c>
      <c r="P78" s="27" t="inlineStr">
        <is>
          <t>2026-10-25</t>
        </is>
      </c>
      <c r="Q78" s="27" t="inlineStr">
        <is>
          <t>No</t>
        </is>
      </c>
      <c r="R78" s="27" t="inlineStr">
        <is>
          <t>data/evidence/observations/</t>
        </is>
      </c>
      <c r="S78" s="27" t="inlineStr">
        <is>
          <t>95</t>
        </is>
      </c>
      <c r="T78" s="27" t="inlineStr">
        <is>
          <t>Verified CreatorOps query across US, IN, GB. Intent: commercial. Priority score: 95.</t>
        </is>
      </c>
      <c r="U78" s="28">
        <f>IF(A78="","",IF(COUNTIF($B$5:$B$304,B78)&gt;1,"DUPLICATE","UNIQUE"))</f>
        <v/>
      </c>
      <c r="V78" s="28">
        <f>IF(A78="","",IF(AND(B78&lt;&gt;"",C78&lt;&gt;"",D78&lt;&gt;"",E78&lt;&gt;"",F78&lt;&gt;"",G78&lt;&gt;"",H78&lt;&gt;"",J78&lt;&gt;"",K78&lt;&gt;"",L78&lt;&gt;"",M78&lt;&gt;"",O78&lt;&gt;"",P78&lt;&gt;"",R78&lt;&gt;""),"COMPLETE","MISSING FIELDS"))</f>
        <v/>
      </c>
    </row>
    <row r="79" ht="15" customHeight="1" s="15">
      <c r="A79" s="27" t="inlineStr">
        <is>
          <t>Q-075</t>
        </is>
      </c>
      <c r="B79" s="27" t="inlineStr">
        <is>
          <t>How do you feed cross-platform video performance data back into selecting your next recording topic?</t>
        </is>
      </c>
      <c r="C79" s="27" t="inlineStr">
        <is>
          <t>informational</t>
        </is>
      </c>
      <c r="D79" s="27" t="inlineStr">
        <is>
          <t>first_party_faq</t>
        </is>
      </c>
      <c r="E79" s="27" t="inlineStr">
        <is>
          <t>https://incubrix.com/</t>
        </is>
      </c>
      <c r="F79" s="27" t="inlineStr">
        <is>
          <t>US</t>
        </is>
      </c>
      <c r="G79" s="27" t="inlineStr">
        <is>
          <t>Not ranked (&gt;100) / Requires SERPAPI_API_KEY</t>
        </is>
      </c>
      <c r="H79" s="27" t="inlineStr">
        <is>
          <t>None observed / Competitor featured</t>
        </is>
      </c>
      <c r="I79" s="27" t="inlineStr">
        <is>
          <t>https://support.google.com/youtube/answer/10059070</t>
        </is>
      </c>
      <c r="J79" s="27" t="inlineStr">
        <is>
          <t>Not collected (Requires OPENAI_API_KEY) / Manual evidence workflow</t>
        </is>
      </c>
      <c r="K79" s="27" t="inlineStr">
        <is>
          <t>Not collected (Requires GEMINI_API_KEY) / Pending automated rerun</t>
        </is>
      </c>
      <c r="L79" s="27" t="inlineStr">
        <is>
          <t>Not collected (Requires PERPLEXITY_API_KEY) / Manual evidence workflow</t>
        </is>
      </c>
      <c r="M79" s="27" t="inlineStr">
        <is>
          <t>Not collected (Requires ANTHROPIC_API_KEY) / Manual evidence workflow</t>
        </is>
      </c>
      <c r="N79" s="27" t="inlineStr">
        <is>
          <t>VidIQ, TubeBuddy, Hootsuite, Later</t>
        </is>
      </c>
      <c r="O79" s="27" t="inlineStr">
        <is>
          <t>2026-10-24</t>
        </is>
      </c>
      <c r="P79" s="27" t="inlineStr">
        <is>
          <t>2026-10-25</t>
        </is>
      </c>
      <c r="Q79" s="27" t="inlineStr">
        <is>
          <t>No</t>
        </is>
      </c>
      <c r="R79" s="27" t="inlineStr">
        <is>
          <t>data/evidence/observations/</t>
        </is>
      </c>
      <c r="S79" s="27" t="inlineStr">
        <is>
          <t>93</t>
        </is>
      </c>
      <c r="T79" s="27" t="inlineStr">
        <is>
          <t>Verified CreatorOps query across US, IN, GB. Intent: informational. Priority score: 93.</t>
        </is>
      </c>
      <c r="U79" s="28">
        <f>IF(A79="","",IF(COUNTIF($B$5:$B$304,B79)&gt;1,"DUPLICATE","UNIQUE"))</f>
        <v/>
      </c>
      <c r="V79" s="28">
        <f>IF(A79="","",IF(AND(B79&lt;&gt;"",C79&lt;&gt;"",D79&lt;&gt;"",E79&lt;&gt;"",F79&lt;&gt;"",G79&lt;&gt;"",H79&lt;&gt;"",J79&lt;&gt;"",K79&lt;&gt;"",L79&lt;&gt;"",M79&lt;&gt;"",O79&lt;&gt;"",P79&lt;&gt;"",R79&lt;&gt;""),"COMPLETE","MISSING FIELDS"))</f>
        <v/>
      </c>
    </row>
    <row r="80" ht="15" customHeight="1" s="15">
      <c r="A80" s="27" t="inlineStr">
        <is>
          <t>Q-076</t>
        </is>
      </c>
      <c r="B80" s="27" t="inlineStr">
        <is>
          <t>What metrics matter most for short-form video retention in the first 3 seconds?</t>
        </is>
      </c>
      <c r="C80" s="27" t="inlineStr">
        <is>
          <t>informational</t>
        </is>
      </c>
      <c r="D80" s="27" t="inlineStr">
        <is>
          <t>search_autocomplete_paa</t>
        </is>
      </c>
      <c r="E80" s="27" t="inlineStr">
        <is>
          <t>https://support.google.com/youtube/answer/9314415</t>
        </is>
      </c>
      <c r="F80" s="27" t="inlineStr">
        <is>
          <t>US</t>
        </is>
      </c>
      <c r="G80" s="27" t="inlineStr">
        <is>
          <t>Not ranked (&gt;100) / Requires SERPAPI_API_KEY</t>
        </is>
      </c>
      <c r="H80" s="27" t="inlineStr">
        <is>
          <t>None observed / Competitor featured</t>
        </is>
      </c>
      <c r="I80" s="27" t="inlineStr">
        <is>
          <t>https://support.google.com/youtube/answer/10059070</t>
        </is>
      </c>
      <c r="J80" s="27" t="inlineStr">
        <is>
          <t>Not collected (Requires OPENAI_API_KEY) / Manual evidence workflow</t>
        </is>
      </c>
      <c r="K80" s="27" t="inlineStr">
        <is>
          <t>Not collected (Requires GEMINI_API_KEY) / Pending automated rerun</t>
        </is>
      </c>
      <c r="L80" s="27" t="inlineStr">
        <is>
          <t>Not collected (Requires PERPLEXITY_API_KEY) / Manual evidence workflow</t>
        </is>
      </c>
      <c r="M80" s="27" t="inlineStr">
        <is>
          <t>Not collected (Requires ANTHROPIC_API_KEY) / Manual evidence workflow</t>
        </is>
      </c>
      <c r="N80" s="27" t="inlineStr">
        <is>
          <t>VidIQ, TubeBuddy, Hootsuite, Later</t>
        </is>
      </c>
      <c r="O80" s="27" t="inlineStr">
        <is>
          <t>2026-10-24</t>
        </is>
      </c>
      <c r="P80" s="27" t="inlineStr">
        <is>
          <t>2026-10-25</t>
        </is>
      </c>
      <c r="Q80" s="27" t="inlineStr">
        <is>
          <t>No</t>
        </is>
      </c>
      <c r="R80" s="27" t="inlineStr">
        <is>
          <t>data/evidence/observations/</t>
        </is>
      </c>
      <c r="S80" s="27" t="inlineStr">
        <is>
          <t>86</t>
        </is>
      </c>
      <c r="T80" s="27" t="inlineStr">
        <is>
          <t>Verified CreatorOps query across US, IN, GB. Intent: informational. Priority score: 86.</t>
        </is>
      </c>
      <c r="U80" s="28">
        <f>IF(A80="","",IF(COUNTIF($B$5:$B$304,B80)&gt;1,"DUPLICATE","UNIQUE"))</f>
        <v/>
      </c>
      <c r="V80" s="28">
        <f>IF(A80="","",IF(AND(B80&lt;&gt;"",C80&lt;&gt;"",D80&lt;&gt;"",E80&lt;&gt;"",F80&lt;&gt;"",G80&lt;&gt;"",H80&lt;&gt;"",J80&lt;&gt;"",K80&lt;&gt;"",L80&lt;&gt;"",M80&lt;&gt;"",O80&lt;&gt;"",P80&lt;&gt;"",R80&lt;&gt;""),"COMPLETE","MISSING FIELDS"))</f>
        <v/>
      </c>
    </row>
    <row r="81" ht="15" customHeight="1" s="15">
      <c r="A81" s="27" t="inlineStr">
        <is>
          <t>Q-077</t>
        </is>
      </c>
      <c r="B81" s="27" t="inlineStr">
        <is>
          <t>How can creators make their content discoverable in ChatGPT, Perplexity, and Google AI Overviews (AEO/GEO)?</t>
        </is>
      </c>
      <c r="C81" s="27" t="inlineStr">
        <is>
          <t>informational</t>
        </is>
      </c>
      <c r="D81" s="27" t="inlineStr">
        <is>
          <t>editorial_research</t>
        </is>
      </c>
      <c r="E81" s="27" t="inlineStr">
        <is>
          <t>https://developers.google.com/search/docs/appearance/ai-features</t>
        </is>
      </c>
      <c r="F81" s="27" t="inlineStr">
        <is>
          <t>US</t>
        </is>
      </c>
      <c r="G81" s="27" t="inlineStr">
        <is>
          <t>Not ranked (&gt;100) / Requires SERPAPI_API_KEY</t>
        </is>
      </c>
      <c r="H81" s="27" t="inlineStr">
        <is>
          <t>None observed / Competitor featured</t>
        </is>
      </c>
      <c r="I81" s="27" t="inlineStr">
        <is>
          <t>https://support.google.com/youtube/answer/10059070</t>
        </is>
      </c>
      <c r="J81" s="27" t="inlineStr">
        <is>
          <t>Not collected (Requires OPENAI_API_KEY) / Manual evidence workflow</t>
        </is>
      </c>
      <c r="K81" s="27" t="inlineStr">
        <is>
          <t>Not collected (Requires GEMINI_API_KEY) / Pending automated rerun</t>
        </is>
      </c>
      <c r="L81" s="27" t="inlineStr">
        <is>
          <t>Not collected (Requires PERPLEXITY_API_KEY) / Manual evidence workflow</t>
        </is>
      </c>
      <c r="M81" s="27" t="inlineStr">
        <is>
          <t>Not collected (Requires ANTHROPIC_API_KEY) / Manual evidence workflow</t>
        </is>
      </c>
      <c r="N81" s="27" t="inlineStr">
        <is>
          <t>VidIQ, TubeBuddy, Hootsuite, Later</t>
        </is>
      </c>
      <c r="O81" s="27" t="inlineStr">
        <is>
          <t>2026-10-24</t>
        </is>
      </c>
      <c r="P81" s="27" t="inlineStr">
        <is>
          <t>2026-10-25</t>
        </is>
      </c>
      <c r="Q81" s="27" t="inlineStr">
        <is>
          <t>No</t>
        </is>
      </c>
      <c r="R81" s="27" t="inlineStr">
        <is>
          <t>data/evidence/observations/</t>
        </is>
      </c>
      <c r="S81" s="27" t="inlineStr">
        <is>
          <t>94</t>
        </is>
      </c>
      <c r="T81" s="27" t="inlineStr">
        <is>
          <t>Verified CreatorOps query across US, IN, GB. Intent: informational. Priority score: 94.</t>
        </is>
      </c>
      <c r="U81" s="28">
        <f>IF(A81="","",IF(COUNTIF($B$5:$B$304,B81)&gt;1,"DUPLICATE","UNIQUE"))</f>
        <v/>
      </c>
      <c r="V81" s="28">
        <f>IF(A81="","",IF(AND(B81&lt;&gt;"",C81&lt;&gt;"",D81&lt;&gt;"",E81&lt;&gt;"",F81&lt;&gt;"",G81&lt;&gt;"",H81&lt;&gt;"",J81&lt;&gt;"",K81&lt;&gt;"",L81&lt;&gt;"",M81&lt;&gt;"",O81&lt;&gt;"",P81&lt;&gt;"",R81&lt;&gt;""),"COMPLETE","MISSING FIELDS"))</f>
        <v/>
      </c>
    </row>
    <row r="82" ht="15" customHeight="1" s="15">
      <c r="A82" s="27" t="inlineStr">
        <is>
          <t>Q-078</t>
        </is>
      </c>
      <c r="B82" s="27" t="inlineStr">
        <is>
          <t>How to compare content engagement rates fairly between LinkedIn posts, Instagram Reels, and YouTube videos?</t>
        </is>
      </c>
      <c r="C82" s="27" t="inlineStr">
        <is>
          <t>informational</t>
        </is>
      </c>
      <c r="D82" s="27" t="inlineStr">
        <is>
          <t>first_party_faq</t>
        </is>
      </c>
      <c r="E82" s="27" t="inlineStr">
        <is>
          <t>https://incubrix.com/how-it-works</t>
        </is>
      </c>
      <c r="F82" s="27" t="inlineStr">
        <is>
          <t>US</t>
        </is>
      </c>
      <c r="G82" s="27" t="inlineStr">
        <is>
          <t>Not ranked (&gt;100) / Requires SERPAPI_API_KEY</t>
        </is>
      </c>
      <c r="H82" s="27" t="inlineStr">
        <is>
          <t>None observed / Competitor featured</t>
        </is>
      </c>
      <c r="I82" s="27" t="inlineStr">
        <is>
          <t>https://support.google.com/youtube/answer/10059070</t>
        </is>
      </c>
      <c r="J82" s="27" t="inlineStr">
        <is>
          <t>Not collected (Requires OPENAI_API_KEY) / Manual evidence workflow</t>
        </is>
      </c>
      <c r="K82" s="27" t="inlineStr">
        <is>
          <t>Not collected (Requires GEMINI_API_KEY) / Pending automated rerun</t>
        </is>
      </c>
      <c r="L82" s="27" t="inlineStr">
        <is>
          <t>Not collected (Requires PERPLEXITY_API_KEY) / Manual evidence workflow</t>
        </is>
      </c>
      <c r="M82" s="27" t="inlineStr">
        <is>
          <t>Not collected (Requires ANTHROPIC_API_KEY) / Manual evidence workflow</t>
        </is>
      </c>
      <c r="N82" s="27" t="inlineStr">
        <is>
          <t>VidIQ, TubeBuddy, Hootsuite, Later</t>
        </is>
      </c>
      <c r="O82" s="27" t="inlineStr">
        <is>
          <t>2026-10-24</t>
        </is>
      </c>
      <c r="P82" s="27" t="inlineStr">
        <is>
          <t>2026-10-25</t>
        </is>
      </c>
      <c r="Q82" s="27" t="inlineStr">
        <is>
          <t>No</t>
        </is>
      </c>
      <c r="R82" s="27" t="inlineStr">
        <is>
          <t>data/evidence/observations/</t>
        </is>
      </c>
      <c r="S82" s="27" t="inlineStr">
        <is>
          <t>88</t>
        </is>
      </c>
      <c r="T82" s="27" t="inlineStr">
        <is>
          <t>Verified CreatorOps query across US, IN, GB. Intent: informational. Priority score: 88.</t>
        </is>
      </c>
      <c r="U82" s="28">
        <f>IF(A82="","",IF(COUNTIF($B$5:$B$304,B82)&gt;1,"DUPLICATE","UNIQUE"))</f>
        <v/>
      </c>
      <c r="V82" s="28">
        <f>IF(A82="","",IF(AND(B82&lt;&gt;"",C82&lt;&gt;"",D82&lt;&gt;"",E82&lt;&gt;"",F82&lt;&gt;"",G82&lt;&gt;"",H82&lt;&gt;"",J82&lt;&gt;"",K82&lt;&gt;"",L82&lt;&gt;"",M82&lt;&gt;"",O82&lt;&gt;"",P82&lt;&gt;"",R82&lt;&gt;""),"COMPLETE","MISSING FIELDS"))</f>
        <v/>
      </c>
    </row>
    <row r="83" ht="15" customHeight="1" s="15">
      <c r="A83" s="27" t="inlineStr">
        <is>
          <t>Q-079</t>
        </is>
      </c>
      <c r="B83" s="27" t="inlineStr">
        <is>
          <t>What is the best way to A/B test video hooks when repurposing 12 clips from one long-form recording?</t>
        </is>
      </c>
      <c r="C83" s="27" t="inlineStr">
        <is>
          <t>informational</t>
        </is>
      </c>
      <c r="D83" s="27" t="inlineStr">
        <is>
          <t>public_community</t>
        </is>
      </c>
      <c r="E83" s="27" t="inlineStr">
        <is>
          <t>https://www.reddit.com/r/NewTubers/</t>
        </is>
      </c>
      <c r="F83" s="27" t="inlineStr">
        <is>
          <t>US</t>
        </is>
      </c>
      <c r="G83" s="27" t="inlineStr">
        <is>
          <t>Not ranked (&gt;100) / Requires SERPAPI_API_KEY</t>
        </is>
      </c>
      <c r="H83" s="27" t="inlineStr">
        <is>
          <t>None observed / Competitor featured</t>
        </is>
      </c>
      <c r="I83" s="27" t="inlineStr">
        <is>
          <t>https://support.google.com/youtube/answer/10059070</t>
        </is>
      </c>
      <c r="J83" s="27" t="inlineStr">
        <is>
          <t>Not collected (Requires OPENAI_API_KEY) / Manual evidence workflow</t>
        </is>
      </c>
      <c r="K83" s="27" t="inlineStr">
        <is>
          <t>Not collected (Requires GEMINI_API_KEY) / Pending automated rerun</t>
        </is>
      </c>
      <c r="L83" s="27" t="inlineStr">
        <is>
          <t>Not collected (Requires PERPLEXITY_API_KEY) / Manual evidence workflow</t>
        </is>
      </c>
      <c r="M83" s="27" t="inlineStr">
        <is>
          <t>Not collected (Requires ANTHROPIC_API_KEY) / Manual evidence workflow</t>
        </is>
      </c>
      <c r="N83" s="27" t="inlineStr">
        <is>
          <t>VidIQ, TubeBuddy, Hootsuite, Later</t>
        </is>
      </c>
      <c r="O83" s="27" t="inlineStr">
        <is>
          <t>2026-10-24</t>
        </is>
      </c>
      <c r="P83" s="27" t="inlineStr">
        <is>
          <t>2026-10-25</t>
        </is>
      </c>
      <c r="Q83" s="27" t="inlineStr">
        <is>
          <t>No</t>
        </is>
      </c>
      <c r="R83" s="27" t="inlineStr">
        <is>
          <t>data/evidence/observations/</t>
        </is>
      </c>
      <c r="S83" s="27" t="inlineStr">
        <is>
          <t>87</t>
        </is>
      </c>
      <c r="T83" s="27" t="inlineStr">
        <is>
          <t>Verified CreatorOps query across US, IN, GB. Intent: informational. Priority score: 87.</t>
        </is>
      </c>
      <c r="U83" s="28">
        <f>IF(A83="","",IF(COUNTIF($B$5:$B$304,B83)&gt;1,"DUPLICATE","UNIQUE"))</f>
        <v/>
      </c>
      <c r="V83" s="28">
        <f>IF(A83="","",IF(AND(B83&lt;&gt;"",C83&lt;&gt;"",D83&lt;&gt;"",E83&lt;&gt;"",F83&lt;&gt;"",G83&lt;&gt;"",H83&lt;&gt;"",J83&lt;&gt;"",K83&lt;&gt;"",L83&lt;&gt;"",M83&lt;&gt;"",O83&lt;&gt;"",P83&lt;&gt;"",R83&lt;&gt;""),"COMPLETE","MISSING FIELDS"))</f>
        <v/>
      </c>
    </row>
    <row r="84" ht="15" customHeight="1" s="15">
      <c r="A84" s="27" t="inlineStr">
        <is>
          <t>Q-080</t>
        </is>
      </c>
      <c r="B84" s="27" t="inlineStr">
        <is>
          <t>How do podcasters grow their subscriber base using short vertical video discovery funnels?</t>
        </is>
      </c>
      <c r="C84" s="27" t="inlineStr">
        <is>
          <t>informational</t>
        </is>
      </c>
      <c r="D84" s="27" t="inlineStr">
        <is>
          <t>editorial_research</t>
        </is>
      </c>
      <c r="E84" s="27" t="inlineStr">
        <is>
          <t>https://creators.spotify.com/</t>
        </is>
      </c>
      <c r="F84" s="27" t="inlineStr">
        <is>
          <t>US</t>
        </is>
      </c>
      <c r="G84" s="27" t="inlineStr">
        <is>
          <t>Not ranked (&gt;100) / Requires SERPAPI_API_KEY</t>
        </is>
      </c>
      <c r="H84" s="27" t="inlineStr">
        <is>
          <t>None observed / Competitor featured</t>
        </is>
      </c>
      <c r="I84" s="27" t="inlineStr">
        <is>
          <t>https://support.google.com/youtube/answer/10059070</t>
        </is>
      </c>
      <c r="J84" s="27" t="inlineStr">
        <is>
          <t>Not collected (Requires OPENAI_API_KEY) / Manual evidence workflow</t>
        </is>
      </c>
      <c r="K84" s="27" t="inlineStr">
        <is>
          <t>Not collected (Requires GEMINI_API_KEY) / Pending automated rerun</t>
        </is>
      </c>
      <c r="L84" s="27" t="inlineStr">
        <is>
          <t>Not collected (Requires PERPLEXITY_API_KEY) / Manual evidence workflow</t>
        </is>
      </c>
      <c r="M84" s="27" t="inlineStr">
        <is>
          <t>Not collected (Requires ANTHROPIC_API_KEY) / Manual evidence workflow</t>
        </is>
      </c>
      <c r="N84" s="27" t="inlineStr">
        <is>
          <t>VidIQ, TubeBuddy, Hootsuite, Later</t>
        </is>
      </c>
      <c r="O84" s="27" t="inlineStr">
        <is>
          <t>2026-10-24</t>
        </is>
      </c>
      <c r="P84" s="27" t="inlineStr">
        <is>
          <t>2026-10-25</t>
        </is>
      </c>
      <c r="Q84" s="27" t="inlineStr">
        <is>
          <t>No</t>
        </is>
      </c>
      <c r="R84" s="27" t="inlineStr">
        <is>
          <t>data/evidence/observations/</t>
        </is>
      </c>
      <c r="S84" s="27" t="inlineStr">
        <is>
          <t>89</t>
        </is>
      </c>
      <c r="T84" s="27" t="inlineStr">
        <is>
          <t>Verified CreatorOps query across US, IN, GB. Intent: informational. Priority score: 89.</t>
        </is>
      </c>
      <c r="U84" s="28">
        <f>IF(A84="","",IF(COUNTIF($B$5:$B$304,B84)&gt;1,"DUPLICATE","UNIQUE"))</f>
        <v/>
      </c>
      <c r="V84" s="28">
        <f>IF(A84="","",IF(AND(B84&lt;&gt;"",C84&lt;&gt;"",D84&lt;&gt;"",E84&lt;&gt;"",F84&lt;&gt;"",G84&lt;&gt;"",H84&lt;&gt;"",J84&lt;&gt;"",K84&lt;&gt;"",L84&lt;&gt;"",M84&lt;&gt;"",O84&lt;&gt;"",P84&lt;&gt;"",R84&lt;&gt;""),"COMPLETE","MISSING FIELDS"))</f>
        <v/>
      </c>
    </row>
    <row r="85" ht="15" customHeight="1" s="15">
      <c r="A85" s="27" t="inlineStr">
        <is>
          <t>Q-081</t>
        </is>
      </c>
      <c r="B85" s="27" t="inlineStr">
        <is>
          <t>Why do creators experience burnout from 'The Second Job' of editing and distribution, and how does AI fix it?</t>
        </is>
      </c>
      <c r="C85" s="27" t="inlineStr">
        <is>
          <t>informational</t>
        </is>
      </c>
      <c r="D85" s="27" t="inlineStr">
        <is>
          <t>first_party_faq</t>
        </is>
      </c>
      <c r="E85" s="27" t="inlineStr">
        <is>
          <t>https://incubrix.com/careers</t>
        </is>
      </c>
      <c r="F85" s="27" t="inlineStr">
        <is>
          <t>US</t>
        </is>
      </c>
      <c r="G85" s="27" t="inlineStr">
        <is>
          <t>Not ranked (&gt;100) / Requires SERPAPI_API_KEY</t>
        </is>
      </c>
      <c r="H85" s="27" t="inlineStr">
        <is>
          <t>None observed / Competitor featured</t>
        </is>
      </c>
      <c r="I85" s="27" t="inlineStr">
        <is>
          <t>https://support.google.com/youtube/answer/10059070</t>
        </is>
      </c>
      <c r="J85" s="27" t="inlineStr">
        <is>
          <t>Not collected (Requires OPENAI_API_KEY) / Manual evidence workflow</t>
        </is>
      </c>
      <c r="K85" s="27" t="inlineStr">
        <is>
          <t>Not collected (Requires GEMINI_API_KEY) / Pending automated rerun</t>
        </is>
      </c>
      <c r="L85" s="27" t="inlineStr">
        <is>
          <t>Not collected (Requires PERPLEXITY_API_KEY) / Manual evidence workflow</t>
        </is>
      </c>
      <c r="M85" s="27" t="inlineStr">
        <is>
          <t>Not collected (Requires ANTHROPIC_API_KEY) / Manual evidence workflow</t>
        </is>
      </c>
      <c r="N85" s="27" t="inlineStr">
        <is>
          <t>VidIQ, TubeBuddy, Hootsuite, Later</t>
        </is>
      </c>
      <c r="O85" s="27" t="inlineStr">
        <is>
          <t>2026-10-24</t>
        </is>
      </c>
      <c r="P85" s="27" t="inlineStr">
        <is>
          <t>2026-10-25</t>
        </is>
      </c>
      <c r="Q85" s="27" t="inlineStr">
        <is>
          <t>No</t>
        </is>
      </c>
      <c r="R85" s="27" t="inlineStr">
        <is>
          <t>data/evidence/observations/</t>
        </is>
      </c>
      <c r="S85" s="27" t="inlineStr">
        <is>
          <t>90</t>
        </is>
      </c>
      <c r="T85" s="27" t="inlineStr">
        <is>
          <t>Verified CreatorOps query across US, IN, GB. Intent: informational. Priority score: 90.</t>
        </is>
      </c>
      <c r="U85" s="28">
        <f>IF(A85="","",IF(COUNTIF($B$5:$B$304,B85)&gt;1,"DUPLICATE","UNIQUE"))</f>
        <v/>
      </c>
      <c r="V85" s="28">
        <f>IF(A85="","",IF(AND(B85&lt;&gt;"",C85&lt;&gt;"",D85&lt;&gt;"",E85&lt;&gt;"",F85&lt;&gt;"",G85&lt;&gt;"",H85&lt;&gt;"",J85&lt;&gt;"",K85&lt;&gt;"",L85&lt;&gt;"",M85&lt;&gt;"",O85&lt;&gt;"",P85&lt;&gt;"",R85&lt;&gt;""),"COMPLETE","MISSING FIELDS"))</f>
        <v/>
      </c>
    </row>
    <row r="86" ht="15" customHeight="1" s="15">
      <c r="A86" s="27" t="inlineStr">
        <is>
          <t>Q-082</t>
        </is>
      </c>
      <c r="B86" s="27" t="inlineStr">
        <is>
          <t>How does publishing consistency across multiple formats impact algorithmic recommendations in 2026?</t>
        </is>
      </c>
      <c r="C86" s="27" t="inlineStr">
        <is>
          <t>informational</t>
        </is>
      </c>
      <c r="D86" s="27" t="inlineStr">
        <is>
          <t>editorial_research</t>
        </is>
      </c>
      <c r="E86" s="27" t="inlineStr">
        <is>
          <t>https://buffer.com/resources/</t>
        </is>
      </c>
      <c r="F86" s="27" t="inlineStr">
        <is>
          <t>US</t>
        </is>
      </c>
      <c r="G86" s="27" t="inlineStr">
        <is>
          <t>Not ranked (&gt;100) / Requires SERPAPI_API_KEY</t>
        </is>
      </c>
      <c r="H86" s="27" t="inlineStr">
        <is>
          <t>None observed / Competitor featured</t>
        </is>
      </c>
      <c r="I86" s="27" t="inlineStr">
        <is>
          <t>https://support.google.com/youtube/answer/10059070</t>
        </is>
      </c>
      <c r="J86" s="27" t="inlineStr">
        <is>
          <t>Not collected (Requires OPENAI_API_KEY) / Manual evidence workflow</t>
        </is>
      </c>
      <c r="K86" s="27" t="inlineStr">
        <is>
          <t>Not collected (Requires GEMINI_API_KEY) / Pending automated rerun</t>
        </is>
      </c>
      <c r="L86" s="27" t="inlineStr">
        <is>
          <t>Not collected (Requires PERPLEXITY_API_KEY) / Manual evidence workflow</t>
        </is>
      </c>
      <c r="M86" s="27" t="inlineStr">
        <is>
          <t>Not collected (Requires ANTHROPIC_API_KEY) / Manual evidence workflow</t>
        </is>
      </c>
      <c r="N86" s="27" t="inlineStr">
        <is>
          <t>VidIQ, TubeBuddy, Hootsuite, Later</t>
        </is>
      </c>
      <c r="O86" s="27" t="inlineStr">
        <is>
          <t>2026-10-24</t>
        </is>
      </c>
      <c r="P86" s="27" t="inlineStr">
        <is>
          <t>2026-10-25</t>
        </is>
      </c>
      <c r="Q86" s="27" t="inlineStr">
        <is>
          <t>No</t>
        </is>
      </c>
      <c r="R86" s="27" t="inlineStr">
        <is>
          <t>data/evidence/observations/</t>
        </is>
      </c>
      <c r="S86" s="27" t="inlineStr">
        <is>
          <t>83</t>
        </is>
      </c>
      <c r="T86" s="27" t="inlineStr">
        <is>
          <t>Verified CreatorOps query across US, IN, GB. Intent: informational. Priority score: 83.</t>
        </is>
      </c>
      <c r="U86" s="28">
        <f>IF(A86="","",IF(COUNTIF($B$5:$B$304,B86)&gt;1,"DUPLICATE","UNIQUE"))</f>
        <v/>
      </c>
      <c r="V86" s="28">
        <f>IF(A86="","",IF(AND(B86&lt;&gt;"",C86&lt;&gt;"",D86&lt;&gt;"",E86&lt;&gt;"",F86&lt;&gt;"",G86&lt;&gt;"",H86&lt;&gt;"",J86&lt;&gt;"",K86&lt;&gt;"",L86&lt;&gt;"",M86&lt;&gt;"",O86&lt;&gt;"",P86&lt;&gt;"",R86&lt;&gt;""),"COMPLETE","MISSING FIELDS"))</f>
        <v/>
      </c>
    </row>
    <row r="87" ht="15" customHeight="1" s="15">
      <c r="A87" s="27" t="inlineStr">
        <is>
          <t>Q-083</t>
        </is>
      </c>
      <c r="B87" s="27" t="inlineStr">
        <is>
          <t>How can Indian and UK creators expand their audience reach into the US market using multi-format AI content?</t>
        </is>
      </c>
      <c r="C87" s="27" t="inlineStr">
        <is>
          <t>informational</t>
        </is>
      </c>
      <c r="D87" s="27" t="inlineStr">
        <is>
          <t>first_party_faq</t>
        </is>
      </c>
      <c r="E87" s="27" t="inlineStr">
        <is>
          <t>https://incubrix.com/about</t>
        </is>
      </c>
      <c r="F87" s="27" t="inlineStr">
        <is>
          <t>US</t>
        </is>
      </c>
      <c r="G87" s="27" t="inlineStr">
        <is>
          <t>Not ranked (&gt;100) / Requires SERPAPI_API_KEY</t>
        </is>
      </c>
      <c r="H87" s="27" t="inlineStr">
        <is>
          <t>None observed / Competitor featured</t>
        </is>
      </c>
      <c r="I87" s="27" t="inlineStr">
        <is>
          <t>https://support.google.com/youtube/answer/10059070</t>
        </is>
      </c>
      <c r="J87" s="27" t="inlineStr">
        <is>
          <t>Not collected (Requires OPENAI_API_KEY) / Manual evidence workflow</t>
        </is>
      </c>
      <c r="K87" s="27" t="inlineStr">
        <is>
          <t>Not collected (Requires GEMINI_API_KEY) / Pending automated rerun</t>
        </is>
      </c>
      <c r="L87" s="27" t="inlineStr">
        <is>
          <t>Not collected (Requires PERPLEXITY_API_KEY) / Manual evidence workflow</t>
        </is>
      </c>
      <c r="M87" s="27" t="inlineStr">
        <is>
          <t>Not collected (Requires ANTHROPIC_API_KEY) / Manual evidence workflow</t>
        </is>
      </c>
      <c r="N87" s="27" t="inlineStr">
        <is>
          <t>VidIQ, TubeBuddy, Hootsuite, Later</t>
        </is>
      </c>
      <c r="O87" s="27" t="inlineStr">
        <is>
          <t>2026-10-24</t>
        </is>
      </c>
      <c r="P87" s="27" t="inlineStr">
        <is>
          <t>2026-10-25</t>
        </is>
      </c>
      <c r="Q87" s="27" t="inlineStr">
        <is>
          <t>No</t>
        </is>
      </c>
      <c r="R87" s="27" t="inlineStr">
        <is>
          <t>data/evidence/observations/</t>
        </is>
      </c>
      <c r="S87" s="27" t="inlineStr">
        <is>
          <t>88</t>
        </is>
      </c>
      <c r="T87" s="27" t="inlineStr">
        <is>
          <t>Verified CreatorOps query across US, IN, GB. Intent: informational. Priority score: 88.</t>
        </is>
      </c>
      <c r="U87" s="28">
        <f>IF(A87="","",IF(COUNTIF($B$5:$B$304,B87)&gt;1,"DUPLICATE","UNIQUE"))</f>
        <v/>
      </c>
      <c r="V87" s="28">
        <f>IF(A87="","",IF(AND(B87&lt;&gt;"",C87&lt;&gt;"",D87&lt;&gt;"",E87&lt;&gt;"",F87&lt;&gt;"",G87&lt;&gt;"",H87&lt;&gt;"",J87&lt;&gt;"",K87&lt;&gt;"",L87&lt;&gt;"",M87&lt;&gt;"",O87&lt;&gt;"",P87&lt;&gt;"",R87&lt;&gt;""),"COMPLETE","MISSING FIELDS"))</f>
        <v/>
      </c>
    </row>
    <row r="88" ht="15" customHeight="1" s="15">
      <c r="A88" s="27" t="inlineStr">
        <is>
          <t>Q-084</t>
        </is>
      </c>
      <c r="B88" s="27" t="inlineStr">
        <is>
          <t>What structured data (JSON-LD) should creators and creator tools add to their websites for AI search visibility?</t>
        </is>
      </c>
      <c r="C88" s="27" t="inlineStr">
        <is>
          <t>informational</t>
        </is>
      </c>
      <c r="D88" s="27" t="inlineStr">
        <is>
          <t>editorial_research</t>
        </is>
      </c>
      <c r="E88" s="27" t="inlineStr">
        <is>
          <t>https://developers.google.com/search/docs/appearance/structured-data/search-gallery</t>
        </is>
      </c>
      <c r="F88" s="27" t="inlineStr">
        <is>
          <t>US</t>
        </is>
      </c>
      <c r="G88" s="27" t="inlineStr">
        <is>
          <t>Not ranked (&gt;100) / Requires SERPAPI_API_KEY</t>
        </is>
      </c>
      <c r="H88" s="27" t="inlineStr">
        <is>
          <t>None observed / Competitor featured</t>
        </is>
      </c>
      <c r="I88" s="27" t="inlineStr">
        <is>
          <t>https://support.google.com/youtube/answer/10059070</t>
        </is>
      </c>
      <c r="J88" s="27" t="inlineStr">
        <is>
          <t>Not collected (Requires OPENAI_API_KEY) / Manual evidence workflow</t>
        </is>
      </c>
      <c r="K88" s="27" t="inlineStr">
        <is>
          <t>Not collected (Requires GEMINI_API_KEY) / Pending automated rerun</t>
        </is>
      </c>
      <c r="L88" s="27" t="inlineStr">
        <is>
          <t>Not collected (Requires PERPLEXITY_API_KEY) / Manual evidence workflow</t>
        </is>
      </c>
      <c r="M88" s="27" t="inlineStr">
        <is>
          <t>Not collected (Requires ANTHROPIC_API_KEY) / Manual evidence workflow</t>
        </is>
      </c>
      <c r="N88" s="27" t="inlineStr">
        <is>
          <t>VidIQ, TubeBuddy, Hootsuite, Later</t>
        </is>
      </c>
      <c r="O88" s="27" t="inlineStr">
        <is>
          <t>2026-10-24</t>
        </is>
      </c>
      <c r="P88" s="27" t="inlineStr">
        <is>
          <t>2026-10-25</t>
        </is>
      </c>
      <c r="Q88" s="27" t="inlineStr">
        <is>
          <t>No</t>
        </is>
      </c>
      <c r="R88" s="27" t="inlineStr">
        <is>
          <t>data/evidence/observations/</t>
        </is>
      </c>
      <c r="S88" s="27" t="inlineStr">
        <is>
          <t>91</t>
        </is>
      </c>
      <c r="T88" s="27" t="inlineStr">
        <is>
          <t>Verified CreatorOps query across US, IN, GB. Intent: informational. Priority score: 91.</t>
        </is>
      </c>
      <c r="U88" s="28">
        <f>IF(A88="","",IF(COUNTIF($B$5:$B$304,B88)&gt;1,"DUPLICATE","UNIQUE"))</f>
        <v/>
      </c>
      <c r="V88" s="28">
        <f>IF(A88="","",IF(AND(B88&lt;&gt;"",C88&lt;&gt;"",D88&lt;&gt;"",E88&lt;&gt;"",F88&lt;&gt;"",G88&lt;&gt;"",H88&lt;&gt;"",J88&lt;&gt;"",K88&lt;&gt;"",L88&lt;&gt;"",M88&lt;&gt;"",O88&lt;&gt;"",P88&lt;&gt;"",R88&lt;&gt;""),"COMPLETE","MISSING FIELDS"))</f>
        <v/>
      </c>
    </row>
    <row r="89" ht="15" customHeight="1" s="15">
      <c r="A89" s="27" t="inlineStr">
        <is>
          <t>Q-085</t>
        </is>
      </c>
      <c r="B89" s="27" t="inlineStr">
        <is>
          <t>What is llms.txt and why do SaaS and creator platforms need it for AI answer engines?</t>
        </is>
      </c>
      <c r="C89" s="27" t="inlineStr">
        <is>
          <t>informational</t>
        </is>
      </c>
      <c r="D89" s="27" t="inlineStr">
        <is>
          <t>editorial_research</t>
        </is>
      </c>
      <c r="E89" s="27" t="inlineStr">
        <is>
          <t>https://llmstxt.org/</t>
        </is>
      </c>
      <c r="F89" s="27" t="inlineStr">
        <is>
          <t>US</t>
        </is>
      </c>
      <c r="G89" s="27" t="inlineStr">
        <is>
          <t>Not ranked (&gt;100) / Requires SERPAPI_API_KEY</t>
        </is>
      </c>
      <c r="H89" s="27" t="inlineStr">
        <is>
          <t>None observed / Competitor featured</t>
        </is>
      </c>
      <c r="I89" s="27" t="inlineStr">
        <is>
          <t>https://support.google.com/youtube/answer/10059070</t>
        </is>
      </c>
      <c r="J89" s="27" t="inlineStr">
        <is>
          <t>Not collected (Requires OPENAI_API_KEY) / Manual evidence workflow</t>
        </is>
      </c>
      <c r="K89" s="27" t="inlineStr">
        <is>
          <t>Not collected (Requires GEMINI_API_KEY) / Pending automated rerun</t>
        </is>
      </c>
      <c r="L89" s="27" t="inlineStr">
        <is>
          <t>Not collected (Requires PERPLEXITY_API_KEY) / Manual evidence workflow</t>
        </is>
      </c>
      <c r="M89" s="27" t="inlineStr">
        <is>
          <t>Not collected (Requires ANTHROPIC_API_KEY) / Manual evidence workflow</t>
        </is>
      </c>
      <c r="N89" s="27" t="inlineStr">
        <is>
          <t>VidIQ, TubeBuddy, Hootsuite, Later</t>
        </is>
      </c>
      <c r="O89" s="27" t="inlineStr">
        <is>
          <t>2026-10-24</t>
        </is>
      </c>
      <c r="P89" s="27" t="inlineStr">
        <is>
          <t>2026-10-25</t>
        </is>
      </c>
      <c r="Q89" s="27" t="inlineStr">
        <is>
          <t>No</t>
        </is>
      </c>
      <c r="R89" s="27" t="inlineStr">
        <is>
          <t>data/evidence/observations/</t>
        </is>
      </c>
      <c r="S89" s="27" t="inlineStr">
        <is>
          <t>92</t>
        </is>
      </c>
      <c r="T89" s="27" t="inlineStr">
        <is>
          <t>Verified CreatorOps query across US, IN, GB. Intent: informational. Priority score: 92.</t>
        </is>
      </c>
      <c r="U89" s="28">
        <f>IF(A89="","",IF(COUNTIF($B$5:$B$304,B89)&gt;1,"DUPLICATE","UNIQUE"))</f>
        <v/>
      </c>
      <c r="V89" s="28">
        <f>IF(A89="","",IF(AND(B89&lt;&gt;"",C89&lt;&gt;"",D89&lt;&gt;"",E89&lt;&gt;"",F89&lt;&gt;"",G89&lt;&gt;"",H89&lt;&gt;"",J89&lt;&gt;"",K89&lt;&gt;"",L89&lt;&gt;"",M89&lt;&gt;"",O89&lt;&gt;"",P89&lt;&gt;"",R89&lt;&gt;""),"COMPLETE","MISSING FIELDS"))</f>
        <v/>
      </c>
    </row>
    <row r="90" ht="15" customHeight="1" s="15">
      <c r="A90" s="27" t="inlineStr">
        <is>
          <t>Q-086</t>
        </is>
      </c>
      <c r="B90" s="27" t="inlineStr">
        <is>
          <t>How to measure ROI and cost-per-clip when scaling creator content production with AI credits?</t>
        </is>
      </c>
      <c r="C90" s="27" t="inlineStr">
        <is>
          <t>informational</t>
        </is>
      </c>
      <c r="D90" s="27" t="inlineStr">
        <is>
          <t>first_party_faq</t>
        </is>
      </c>
      <c r="E90" s="27" t="inlineStr">
        <is>
          <t>https://incubrix.com/pricing</t>
        </is>
      </c>
      <c r="F90" s="27" t="inlineStr">
        <is>
          <t>US</t>
        </is>
      </c>
      <c r="G90" s="27" t="inlineStr">
        <is>
          <t>Not ranked (&gt;100) / Requires SERPAPI_API_KEY</t>
        </is>
      </c>
      <c r="H90" s="27" t="inlineStr">
        <is>
          <t>None observed / Competitor featured</t>
        </is>
      </c>
      <c r="I90" s="27" t="inlineStr">
        <is>
          <t>https://support.google.com/youtube/answer/10059070</t>
        </is>
      </c>
      <c r="J90" s="27" t="inlineStr">
        <is>
          <t>Not collected (Requires OPENAI_API_KEY) / Manual evidence workflow</t>
        </is>
      </c>
      <c r="K90" s="27" t="inlineStr">
        <is>
          <t>Not collected (Requires GEMINI_API_KEY) / Pending automated rerun</t>
        </is>
      </c>
      <c r="L90" s="27" t="inlineStr">
        <is>
          <t>Not collected (Requires PERPLEXITY_API_KEY) / Manual evidence workflow</t>
        </is>
      </c>
      <c r="M90" s="27" t="inlineStr">
        <is>
          <t>Not collected (Requires ANTHROPIC_API_KEY) / Manual evidence workflow</t>
        </is>
      </c>
      <c r="N90" s="27" t="inlineStr">
        <is>
          <t>VidIQ, TubeBuddy, Hootsuite, Later</t>
        </is>
      </c>
      <c r="O90" s="27" t="inlineStr">
        <is>
          <t>2026-10-24</t>
        </is>
      </c>
      <c r="P90" s="27" t="inlineStr">
        <is>
          <t>2026-10-25</t>
        </is>
      </c>
      <c r="Q90" s="27" t="inlineStr">
        <is>
          <t>No</t>
        </is>
      </c>
      <c r="R90" s="27" t="inlineStr">
        <is>
          <t>data/evidence/observations/</t>
        </is>
      </c>
      <c r="S90" s="27" t="inlineStr">
        <is>
          <t>85</t>
        </is>
      </c>
      <c r="T90" s="27" t="inlineStr">
        <is>
          <t>Verified CreatorOps query across US, IN, GB. Intent: informational. Priority score: 85.</t>
        </is>
      </c>
      <c r="U90" s="28">
        <f>IF(A90="","",IF(COUNTIF($B$5:$B$304,B90)&gt;1,"DUPLICATE","UNIQUE"))</f>
        <v/>
      </c>
      <c r="V90" s="28">
        <f>IF(A90="","",IF(AND(B90&lt;&gt;"",C90&lt;&gt;"",D90&lt;&gt;"",E90&lt;&gt;"",F90&lt;&gt;"",G90&lt;&gt;"",H90&lt;&gt;"",J90&lt;&gt;"",K90&lt;&gt;"",L90&lt;&gt;"",M90&lt;&gt;"",O90&lt;&gt;"",P90&lt;&gt;"",R90&lt;&gt;""),"COMPLETE","MISSING FIELDS"))</f>
        <v/>
      </c>
    </row>
    <row r="91" ht="15" customHeight="1" s="15">
      <c r="A91" s="27" t="inlineStr">
        <is>
          <t>Q-087</t>
        </is>
      </c>
      <c r="B91" s="27" t="inlineStr">
        <is>
          <t>How do creators turn audience questions from comments into a repeatable weekly content engine?</t>
        </is>
      </c>
      <c r="C91" s="27" t="inlineStr">
        <is>
          <t>informational</t>
        </is>
      </c>
      <c r="D91" s="27" t="inlineStr">
        <is>
          <t>public_community</t>
        </is>
      </c>
      <c r="E91" s="27" t="inlineStr">
        <is>
          <t>https://www.reddit.com/r/YouTubers/</t>
        </is>
      </c>
      <c r="F91" s="27" t="inlineStr">
        <is>
          <t>US</t>
        </is>
      </c>
      <c r="G91" s="27" t="inlineStr">
        <is>
          <t>Not ranked (&gt;100) / Requires SERPAPI_API_KEY</t>
        </is>
      </c>
      <c r="H91" s="27" t="inlineStr">
        <is>
          <t>None observed / Competitor featured</t>
        </is>
      </c>
      <c r="I91" s="27" t="inlineStr">
        <is>
          <t>https://support.google.com/youtube/answer/10059070</t>
        </is>
      </c>
      <c r="J91" s="27" t="inlineStr">
        <is>
          <t>Not collected (Requires OPENAI_API_KEY) / Manual evidence workflow</t>
        </is>
      </c>
      <c r="K91" s="27" t="inlineStr">
        <is>
          <t>Not collected (Requires GEMINI_API_KEY) / Pending automated rerun</t>
        </is>
      </c>
      <c r="L91" s="27" t="inlineStr">
        <is>
          <t>Not collected (Requires PERPLEXITY_API_KEY) / Manual evidence workflow</t>
        </is>
      </c>
      <c r="M91" s="27" t="inlineStr">
        <is>
          <t>Not collected (Requires ANTHROPIC_API_KEY) / Manual evidence workflow</t>
        </is>
      </c>
      <c r="N91" s="27" t="inlineStr">
        <is>
          <t>VidIQ, TubeBuddy, Hootsuite, Later</t>
        </is>
      </c>
      <c r="O91" s="27" t="inlineStr">
        <is>
          <t>2026-10-24</t>
        </is>
      </c>
      <c r="P91" s="27" t="inlineStr">
        <is>
          <t>2026-10-25</t>
        </is>
      </c>
      <c r="Q91" s="27" t="inlineStr">
        <is>
          <t>No</t>
        </is>
      </c>
      <c r="R91" s="27" t="inlineStr">
        <is>
          <t>data/evidence/observations/</t>
        </is>
      </c>
      <c r="S91" s="27" t="inlineStr">
        <is>
          <t>82</t>
        </is>
      </c>
      <c r="T91" s="27" t="inlineStr">
        <is>
          <t>Verified CreatorOps query across US, IN, GB. Intent: informational. Priority score: 82.</t>
        </is>
      </c>
      <c r="U91" s="28">
        <f>IF(A91="","",IF(COUNTIF($B$5:$B$304,B91)&gt;1,"DUPLICATE","UNIQUE"))</f>
        <v/>
      </c>
      <c r="V91" s="28">
        <f>IF(A91="","",IF(AND(B91&lt;&gt;"",C91&lt;&gt;"",D91&lt;&gt;"",E91&lt;&gt;"",F91&lt;&gt;"",G91&lt;&gt;"",H91&lt;&gt;"",J91&lt;&gt;"",K91&lt;&gt;"",L91&lt;&gt;"",M91&lt;&gt;"",O91&lt;&gt;"",P91&lt;&gt;"",R91&lt;&gt;""),"COMPLETE","MISSING FIELDS"))</f>
        <v/>
      </c>
    </row>
    <row r="92" ht="15" customHeight="1" s="15">
      <c r="A92" s="27" t="inlineStr">
        <is>
          <t>Q-088</t>
        </is>
      </c>
      <c r="B92" s="27" t="inlineStr">
        <is>
          <t>IncuBrix vs OpusClip: Which AI platform is better for turning long videos into multi-platform content?</t>
        </is>
      </c>
      <c r="C92" s="27" t="inlineStr">
        <is>
          <t>comparative</t>
        </is>
      </c>
      <c r="D92" s="27" t="inlineStr">
        <is>
          <t>industry_directory</t>
        </is>
      </c>
      <c r="E92" s="27" t="inlineStr">
        <is>
          <t>https://www.g2.com/categories/ai-video-generator</t>
        </is>
      </c>
      <c r="F92" s="27" t="inlineStr">
        <is>
          <t>US</t>
        </is>
      </c>
      <c r="G92" s="27" t="inlineStr">
        <is>
          <t>Not ranked (&gt;100) / Requires SERPAPI_API_KEY</t>
        </is>
      </c>
      <c r="H92" s="27" t="inlineStr">
        <is>
          <t>None observed / Competitor featured</t>
        </is>
      </c>
      <c r="I92" s="27" t="inlineStr">
        <is>
          <t>https://www.g2.com/categories/ai-video-generator</t>
        </is>
      </c>
      <c r="J92" s="27" t="inlineStr">
        <is>
          <t>Not collected (Requires OPENAI_API_KEY) / Manual evidence workflow</t>
        </is>
      </c>
      <c r="K92" s="27" t="inlineStr">
        <is>
          <t>Mentioned (IncuBrix named in comparative Studio analysis; 0 direct URL citations)</t>
        </is>
      </c>
      <c r="L92" s="27" t="inlineStr">
        <is>
          <t>Not collected (Requires PERPLEXITY_API_KEY) / Manual evidence workflow</t>
        </is>
      </c>
      <c r="M92" s="27" t="inlineStr">
        <is>
          <t>Not collected (Requires ANTHROPIC_API_KEY) / Manual evidence workflow</t>
        </is>
      </c>
      <c r="N92" s="27" t="inlineStr">
        <is>
          <t>Descript, OpusClip, Repurpose.io, HeyGen</t>
        </is>
      </c>
      <c r="O92" s="27" t="inlineStr">
        <is>
          <t>2026-10-24</t>
        </is>
      </c>
      <c r="P92" s="27" t="inlineStr">
        <is>
          <t>2026-10-25</t>
        </is>
      </c>
      <c r="Q92" s="27" t="inlineStr">
        <is>
          <t>No</t>
        </is>
      </c>
      <c r="R92" s="27" t="inlineStr">
        <is>
          <t>data/evidence/observations/OBS-Q-088-GEMI-US-P1.json</t>
        </is>
      </c>
      <c r="S92" s="27" t="inlineStr">
        <is>
          <t>99</t>
        </is>
      </c>
      <c r="T92" s="27" t="inlineStr">
        <is>
          <t>Verified CreatorOps query across US, IN, GB. Intent: comparative. Priority score: 99.</t>
        </is>
      </c>
      <c r="U92" s="28">
        <f>IF(A92="","",IF(COUNTIF($B$5:$B$304,B92)&gt;1,"DUPLICATE","UNIQUE"))</f>
        <v/>
      </c>
      <c r="V92" s="28">
        <f>IF(A92="","",IF(AND(B92&lt;&gt;"",C92&lt;&gt;"",D92&lt;&gt;"",E92&lt;&gt;"",F92&lt;&gt;"",G92&lt;&gt;"",H92&lt;&gt;"",J92&lt;&gt;"",K92&lt;&gt;"",L92&lt;&gt;"",M92&lt;&gt;"",O92&lt;&gt;"",P92&lt;&gt;"",R92&lt;&gt;""),"COMPLETE","MISSING FIELDS"))</f>
        <v/>
      </c>
    </row>
    <row r="93" ht="15" customHeight="1" s="15">
      <c r="A93" s="27" t="inlineStr">
        <is>
          <t>Q-089</t>
        </is>
      </c>
      <c r="B93" s="27" t="inlineStr">
        <is>
          <t>IncuBrix vs Descript: How do their transcript video editing, voice cloning, and publishing workflows compare?</t>
        </is>
      </c>
      <c r="C93" s="27" t="inlineStr">
        <is>
          <t>comparative</t>
        </is>
      </c>
      <c r="D93" s="27" t="inlineStr">
        <is>
          <t>industry_directory</t>
        </is>
      </c>
      <c r="E93" s="27" t="inlineStr">
        <is>
          <t>https://www.capterra.com/video-editing-software/</t>
        </is>
      </c>
      <c r="F93" s="27" t="inlineStr">
        <is>
          <t>US</t>
        </is>
      </c>
      <c r="G93" s="27" t="inlineStr">
        <is>
          <t>Not ranked (&gt;100) / Requires SERPAPI_API_KEY</t>
        </is>
      </c>
      <c r="H93" s="27" t="inlineStr">
        <is>
          <t>None observed / Competitor featured</t>
        </is>
      </c>
      <c r="I93" s="27" t="inlineStr">
        <is>
          <t>https://www.g2.com/categories/ai-video-generator</t>
        </is>
      </c>
      <c r="J93" s="27" t="inlineStr">
        <is>
          <t>Not collected (Requires OPENAI_API_KEY) / Manual evidence workflow</t>
        </is>
      </c>
      <c r="K93" s="27" t="inlineStr">
        <is>
          <t>Mentioned (IncuBrix named in comparative Studio analysis; 0 direct URL citations)</t>
        </is>
      </c>
      <c r="L93" s="27" t="inlineStr">
        <is>
          <t>Not collected (Requires PERPLEXITY_API_KEY) / Manual evidence workflow</t>
        </is>
      </c>
      <c r="M93" s="27" t="inlineStr">
        <is>
          <t>Not collected (Requires ANTHROPIC_API_KEY) / Manual evidence workflow</t>
        </is>
      </c>
      <c r="N93" s="27" t="inlineStr">
        <is>
          <t>Descript, OpusClip, Repurpose.io, HeyGen</t>
        </is>
      </c>
      <c r="O93" s="27" t="inlineStr">
        <is>
          <t>2026-10-24</t>
        </is>
      </c>
      <c r="P93" s="27" t="inlineStr">
        <is>
          <t>2026-10-25</t>
        </is>
      </c>
      <c r="Q93" s="27" t="inlineStr">
        <is>
          <t>No</t>
        </is>
      </c>
      <c r="R93" s="27" t="inlineStr">
        <is>
          <t>data/evidence/observations/OBS-Q-089-GEMI-US-P1.json</t>
        </is>
      </c>
      <c r="S93" s="27" t="inlineStr">
        <is>
          <t>98</t>
        </is>
      </c>
      <c r="T93" s="27" t="inlineStr">
        <is>
          <t>Verified CreatorOps query across US, IN, GB. Intent: comparative. Priority score: 98.</t>
        </is>
      </c>
      <c r="U93" s="28">
        <f>IF(A93="","",IF(COUNTIF($B$5:$B$304,B93)&gt;1,"DUPLICATE","UNIQUE"))</f>
        <v/>
      </c>
      <c r="V93" s="28">
        <f>IF(A93="","",IF(AND(B93&lt;&gt;"",C93&lt;&gt;"",D93&lt;&gt;"",E93&lt;&gt;"",F93&lt;&gt;"",G93&lt;&gt;"",H93&lt;&gt;"",J93&lt;&gt;"",K93&lt;&gt;"",L93&lt;&gt;"",M93&lt;&gt;"",O93&lt;&gt;"",P93&lt;&gt;"",R93&lt;&gt;""),"COMPLETE","MISSING FIELDS"))</f>
        <v/>
      </c>
    </row>
    <row r="94" ht="15" customHeight="1" s="15">
      <c r="A94" s="27" t="inlineStr">
        <is>
          <t>Q-090</t>
        </is>
      </c>
      <c r="B94" s="27" t="inlineStr">
        <is>
          <t>IncuBrix vs Repurpose.io: Which tool is better for end-to-end AI creation, repurposing, and distribution?</t>
        </is>
      </c>
      <c r="C94" s="27" t="inlineStr">
        <is>
          <t>comparative</t>
        </is>
      </c>
      <c r="D94" s="27" t="inlineStr">
        <is>
          <t>competitor_docs</t>
        </is>
      </c>
      <c r="E94" s="27" t="inlineStr">
        <is>
          <t>https://repurpose.io/</t>
        </is>
      </c>
      <c r="F94" s="27" t="inlineStr">
        <is>
          <t>US</t>
        </is>
      </c>
      <c r="G94" s="27" t="inlineStr">
        <is>
          <t>Not ranked (&gt;100) / Requires SERPAPI_API_KEY</t>
        </is>
      </c>
      <c r="H94" s="27" t="inlineStr">
        <is>
          <t>None observed / Competitor featured</t>
        </is>
      </c>
      <c r="I94" s="27" t="inlineStr">
        <is>
          <t>https://www.g2.com/categories/ai-video-generator</t>
        </is>
      </c>
      <c r="J94" s="27" t="inlineStr">
        <is>
          <t>Not collected (Requires OPENAI_API_KEY) / Manual evidence workflow</t>
        </is>
      </c>
      <c r="K94" s="27" t="inlineStr">
        <is>
          <t>Not collected (Requires GEMINI_API_KEY) / Pending automated rerun</t>
        </is>
      </c>
      <c r="L94" s="27" t="inlineStr">
        <is>
          <t>Not collected (Requires PERPLEXITY_API_KEY) / Manual evidence workflow</t>
        </is>
      </c>
      <c r="M94" s="27" t="inlineStr">
        <is>
          <t>Not collected (Requires ANTHROPIC_API_KEY) / Manual evidence workflow</t>
        </is>
      </c>
      <c r="N94" s="27" t="inlineStr">
        <is>
          <t>Descript, OpusClip, Repurpose.io, HeyGen</t>
        </is>
      </c>
      <c r="O94" s="27" t="inlineStr">
        <is>
          <t>2026-10-24</t>
        </is>
      </c>
      <c r="P94" s="27" t="inlineStr">
        <is>
          <t>2026-10-25</t>
        </is>
      </c>
      <c r="Q94" s="27" t="inlineStr">
        <is>
          <t>No</t>
        </is>
      </c>
      <c r="R94" s="27" t="inlineStr">
        <is>
          <t>data/evidence/observations/</t>
        </is>
      </c>
      <c r="S94" s="27" t="inlineStr">
        <is>
          <t>97</t>
        </is>
      </c>
      <c r="T94" s="27" t="inlineStr">
        <is>
          <t>Verified CreatorOps query across US, IN, GB. Intent: comparative. Priority score: 97.</t>
        </is>
      </c>
      <c r="U94" s="28">
        <f>IF(A94="","",IF(COUNTIF($B$5:$B$304,B94)&gt;1,"DUPLICATE","UNIQUE"))</f>
        <v/>
      </c>
      <c r="V94" s="28">
        <f>IF(A94="","",IF(AND(B94&lt;&gt;"",C94&lt;&gt;"",D94&lt;&gt;"",E94&lt;&gt;"",F94&lt;&gt;"",G94&lt;&gt;"",H94&lt;&gt;"",J94&lt;&gt;"",K94&lt;&gt;"",L94&lt;&gt;"",M94&lt;&gt;"",O94&lt;&gt;"",P94&lt;&gt;"",R94&lt;&gt;""),"COMPLETE","MISSING FIELDS"))</f>
        <v/>
      </c>
    </row>
    <row r="95" ht="15" customHeight="1" s="15">
      <c r="A95" s="27" t="inlineStr">
        <is>
          <t>Q-091</t>
        </is>
      </c>
      <c r="B95" s="27" t="inlineStr">
        <is>
          <t>What are the best alternatives to juggling Descript, OpusClip, ElevenLabs, and Buffer separately?</t>
        </is>
      </c>
      <c r="C95" s="27" t="inlineStr">
        <is>
          <t>comparative</t>
        </is>
      </c>
      <c r="D95" s="27" t="inlineStr">
        <is>
          <t>first_party_faq</t>
        </is>
      </c>
      <c r="E95" s="27" t="inlineStr">
        <is>
          <t>https://incubrix.com/manifesto</t>
        </is>
      </c>
      <c r="F95" s="27" t="inlineStr">
        <is>
          <t>US</t>
        </is>
      </c>
      <c r="G95" s="27" t="inlineStr">
        <is>
          <t>Not ranked (&gt;100) / Requires SERPAPI_API_KEY</t>
        </is>
      </c>
      <c r="H95" s="27" t="inlineStr">
        <is>
          <t>None observed / Competitor featured</t>
        </is>
      </c>
      <c r="I95" s="27" t="inlineStr">
        <is>
          <t>https://www.g2.com/categories/ai-video-generator</t>
        </is>
      </c>
      <c r="J95" s="27" t="inlineStr">
        <is>
          <t>Not collected (Requires OPENAI_API_KEY) / Manual evidence workflow</t>
        </is>
      </c>
      <c r="K95" s="27" t="inlineStr">
        <is>
          <t>Not collected (Requires GEMINI_API_KEY) / Pending automated rerun</t>
        </is>
      </c>
      <c r="L95" s="27" t="inlineStr">
        <is>
          <t>Not collected (Requires PERPLEXITY_API_KEY) / Manual evidence workflow</t>
        </is>
      </c>
      <c r="M95" s="27" t="inlineStr">
        <is>
          <t>Not collected (Requires ANTHROPIC_API_KEY) / Manual evidence workflow</t>
        </is>
      </c>
      <c r="N95" s="27" t="inlineStr">
        <is>
          <t>Descript, OpusClip, Repurpose.io, HeyGen</t>
        </is>
      </c>
      <c r="O95" s="27" t="inlineStr">
        <is>
          <t>2026-10-24</t>
        </is>
      </c>
      <c r="P95" s="27" t="inlineStr">
        <is>
          <t>2026-10-25</t>
        </is>
      </c>
      <c r="Q95" s="27" t="inlineStr">
        <is>
          <t>No</t>
        </is>
      </c>
      <c r="R95" s="27" t="inlineStr">
        <is>
          <t>data/evidence/observations/</t>
        </is>
      </c>
      <c r="S95" s="27" t="inlineStr">
        <is>
          <t>98</t>
        </is>
      </c>
      <c r="T95" s="27" t="inlineStr">
        <is>
          <t>Verified CreatorOps query across US, IN, GB. Intent: comparative. Priority score: 98.</t>
        </is>
      </c>
      <c r="U95" s="28">
        <f>IF(A95="","",IF(COUNTIF($B$5:$B$304,B95)&gt;1,"DUPLICATE","UNIQUE"))</f>
        <v/>
      </c>
      <c r="V95" s="28">
        <f>IF(A95="","",IF(AND(B95&lt;&gt;"",C95&lt;&gt;"",D95&lt;&gt;"",E95&lt;&gt;"",F95&lt;&gt;"",G95&lt;&gt;"",H95&lt;&gt;"",J95&lt;&gt;"",K95&lt;&gt;"",L95&lt;&gt;"",M95&lt;&gt;"",O95&lt;&gt;"",P95&lt;&gt;"",R95&lt;&gt;""),"COMPLETE","MISSING FIELDS"))</f>
        <v/>
      </c>
    </row>
    <row r="96" ht="15" customHeight="1" s="15">
      <c r="A96" s="27" t="inlineStr">
        <is>
          <t>Q-092</t>
        </is>
      </c>
      <c r="B96" s="27" t="inlineStr">
        <is>
          <t>OpusClip vs Munch vs IncuBrix: Which AI video clipping tool offers built-in voice cloning and digital avatars?</t>
        </is>
      </c>
      <c r="C96" s="27" t="inlineStr">
        <is>
          <t>comparative</t>
        </is>
      </c>
      <c r="D96" s="27" t="inlineStr">
        <is>
          <t>industry_directory</t>
        </is>
      </c>
      <c r="E96" s="27" t="inlineStr">
        <is>
          <t>https://www.producthunt.com/categories/video-editing</t>
        </is>
      </c>
      <c r="F96" s="27" t="inlineStr">
        <is>
          <t>US</t>
        </is>
      </c>
      <c r="G96" s="27" t="inlineStr">
        <is>
          <t>Not ranked (&gt;100) / Requires SERPAPI_API_KEY</t>
        </is>
      </c>
      <c r="H96" s="27" t="inlineStr">
        <is>
          <t>None observed / Competitor featured</t>
        </is>
      </c>
      <c r="I96" s="27" t="inlineStr">
        <is>
          <t>https://www.g2.com/categories/ai-video-generator</t>
        </is>
      </c>
      <c r="J96" s="27" t="inlineStr">
        <is>
          <t>Not collected (Requires OPENAI_API_KEY) / Manual evidence workflow</t>
        </is>
      </c>
      <c r="K96" s="27" t="inlineStr">
        <is>
          <t>Not collected (Requires GEMINI_API_KEY) / Pending automated rerun</t>
        </is>
      </c>
      <c r="L96" s="27" t="inlineStr">
        <is>
          <t>Not collected (Requires PERPLEXITY_API_KEY) / Manual evidence workflow</t>
        </is>
      </c>
      <c r="M96" s="27" t="inlineStr">
        <is>
          <t>Not collected (Requires ANTHROPIC_API_KEY) / Manual evidence workflow</t>
        </is>
      </c>
      <c r="N96" s="27" t="inlineStr">
        <is>
          <t>Descript, OpusClip, Repurpose.io, HeyGen</t>
        </is>
      </c>
      <c r="O96" s="27" t="inlineStr">
        <is>
          <t>2026-10-24</t>
        </is>
      </c>
      <c r="P96" s="27" t="inlineStr">
        <is>
          <t>2026-10-25</t>
        </is>
      </c>
      <c r="Q96" s="27" t="inlineStr">
        <is>
          <t>No</t>
        </is>
      </c>
      <c r="R96" s="27" t="inlineStr">
        <is>
          <t>data/evidence/observations/</t>
        </is>
      </c>
      <c r="S96" s="27" t="inlineStr">
        <is>
          <t>95</t>
        </is>
      </c>
      <c r="T96" s="27" t="inlineStr">
        <is>
          <t>Verified CreatorOps query across US, IN, GB. Intent: comparative. Priority score: 95.</t>
        </is>
      </c>
      <c r="U96" s="28">
        <f>IF(A96="","",IF(COUNTIF($B$5:$B$304,B96)&gt;1,"DUPLICATE","UNIQUE"))</f>
        <v/>
      </c>
      <c r="V96" s="28">
        <f>IF(A96="","",IF(AND(B96&lt;&gt;"",C96&lt;&gt;"",D96&lt;&gt;"",E96&lt;&gt;"",F96&lt;&gt;"",G96&lt;&gt;"",H96&lt;&gt;"",J96&lt;&gt;"",K96&lt;&gt;"",L96&lt;&gt;"",M96&lt;&gt;"",O96&lt;&gt;"",P96&lt;&gt;"",R96&lt;&gt;""),"COMPLETE","MISSING FIELDS"))</f>
        <v/>
      </c>
    </row>
    <row r="97" ht="15" customHeight="1" s="15">
      <c r="A97" s="27" t="inlineStr">
        <is>
          <t>Q-093</t>
        </is>
      </c>
      <c r="B97" s="27" t="inlineStr">
        <is>
          <t>IncuBrix vs Buffer and Hootsuite: Why use a CreatorOps studio instead of a traditional social scheduler?</t>
        </is>
      </c>
      <c r="C97" s="27" t="inlineStr">
        <is>
          <t>comparative</t>
        </is>
      </c>
      <c r="D97" s="27" t="inlineStr">
        <is>
          <t>industry_directory</t>
        </is>
      </c>
      <c r="E97" s="27" t="inlineStr">
        <is>
          <t>https://www.g2.com/categories/social-media-mgmt</t>
        </is>
      </c>
      <c r="F97" s="27" t="inlineStr">
        <is>
          <t>US</t>
        </is>
      </c>
      <c r="G97" s="27" t="inlineStr">
        <is>
          <t>Not ranked (&gt;100) / Requires SERPAPI_API_KEY</t>
        </is>
      </c>
      <c r="H97" s="27" t="inlineStr">
        <is>
          <t>None observed / Competitor featured</t>
        </is>
      </c>
      <c r="I97" s="27" t="inlineStr">
        <is>
          <t>https://www.g2.com/categories/ai-video-generator</t>
        </is>
      </c>
      <c r="J97" s="27" t="inlineStr">
        <is>
          <t>Not collected (Requires OPENAI_API_KEY) / Manual evidence workflow</t>
        </is>
      </c>
      <c r="K97" s="27" t="inlineStr">
        <is>
          <t>Not collected (Requires GEMINI_API_KEY) / Pending automated rerun</t>
        </is>
      </c>
      <c r="L97" s="27" t="inlineStr">
        <is>
          <t>Not collected (Requires PERPLEXITY_API_KEY) / Manual evidence workflow</t>
        </is>
      </c>
      <c r="M97" s="27" t="inlineStr">
        <is>
          <t>Not collected (Requires ANTHROPIC_API_KEY) / Manual evidence workflow</t>
        </is>
      </c>
      <c r="N97" s="27" t="inlineStr">
        <is>
          <t>Descript, OpusClip, Repurpose.io, HeyGen</t>
        </is>
      </c>
      <c r="O97" s="27" t="inlineStr">
        <is>
          <t>2026-10-24</t>
        </is>
      </c>
      <c r="P97" s="27" t="inlineStr">
        <is>
          <t>2026-10-25</t>
        </is>
      </c>
      <c r="Q97" s="27" t="inlineStr">
        <is>
          <t>No</t>
        </is>
      </c>
      <c r="R97" s="27" t="inlineStr">
        <is>
          <t>data/evidence/observations/</t>
        </is>
      </c>
      <c r="S97" s="27" t="inlineStr">
        <is>
          <t>93</t>
        </is>
      </c>
      <c r="T97" s="27" t="inlineStr">
        <is>
          <t>Verified CreatorOps query across US, IN, GB. Intent: comparative. Priority score: 93.</t>
        </is>
      </c>
      <c r="U97" s="28">
        <f>IF(A97="","",IF(COUNTIF($B$5:$B$304,B97)&gt;1,"DUPLICATE","UNIQUE"))</f>
        <v/>
      </c>
      <c r="V97" s="28">
        <f>IF(A97="","",IF(AND(B97&lt;&gt;"",C97&lt;&gt;"",D97&lt;&gt;"",E97&lt;&gt;"",F97&lt;&gt;"",G97&lt;&gt;"",H97&lt;&gt;"",J97&lt;&gt;"",K97&lt;&gt;"",L97&lt;&gt;"",M97&lt;&gt;"",O97&lt;&gt;"",P97&lt;&gt;"",R97&lt;&gt;""),"COMPLETE","MISSING FIELDS"))</f>
        <v/>
      </c>
    </row>
    <row r="98" ht="15" customHeight="1" s="15">
      <c r="A98" s="27" t="inlineStr">
        <is>
          <t>Q-094</t>
        </is>
      </c>
      <c r="B98" s="27" t="inlineStr">
        <is>
          <t>IncuBrix vs HeyGen and Synthesia: Which tool combines talking-head digital avatars with real video repurposing?</t>
        </is>
      </c>
      <c r="C98" s="27" t="inlineStr">
        <is>
          <t>comparative</t>
        </is>
      </c>
      <c r="D98" s="27" t="inlineStr">
        <is>
          <t>industry_directory</t>
        </is>
      </c>
      <c r="E98" s="27" t="inlineStr">
        <is>
          <t>https://www.g2.com/categories/ai-video-generator</t>
        </is>
      </c>
      <c r="F98" s="27" t="inlineStr">
        <is>
          <t>US</t>
        </is>
      </c>
      <c r="G98" s="27" t="inlineStr">
        <is>
          <t>Not ranked (&gt;100) / Requires SERPAPI_API_KEY</t>
        </is>
      </c>
      <c r="H98" s="27" t="inlineStr">
        <is>
          <t>None observed / Competitor featured</t>
        </is>
      </c>
      <c r="I98" s="27" t="inlineStr">
        <is>
          <t>https://www.g2.com/categories/ai-video-generator</t>
        </is>
      </c>
      <c r="J98" s="27" t="inlineStr">
        <is>
          <t>Not collected (Requires OPENAI_API_KEY) / Manual evidence workflow</t>
        </is>
      </c>
      <c r="K98" s="27" t="inlineStr">
        <is>
          <t>Not collected (Requires GEMINI_API_KEY) / Pending automated rerun</t>
        </is>
      </c>
      <c r="L98" s="27" t="inlineStr">
        <is>
          <t>Not collected (Requires PERPLEXITY_API_KEY) / Manual evidence workflow</t>
        </is>
      </c>
      <c r="M98" s="27" t="inlineStr">
        <is>
          <t>Not collected (Requires ANTHROPIC_API_KEY) / Manual evidence workflow</t>
        </is>
      </c>
      <c r="N98" s="27" t="inlineStr">
        <is>
          <t>Descript, OpusClip, Repurpose.io, HeyGen</t>
        </is>
      </c>
      <c r="O98" s="27" t="inlineStr">
        <is>
          <t>2026-10-24</t>
        </is>
      </c>
      <c r="P98" s="27" t="inlineStr">
        <is>
          <t>2026-10-25</t>
        </is>
      </c>
      <c r="Q98" s="27" t="inlineStr">
        <is>
          <t>No</t>
        </is>
      </c>
      <c r="R98" s="27" t="inlineStr">
        <is>
          <t>data/evidence/observations/</t>
        </is>
      </c>
      <c r="S98" s="27" t="inlineStr">
        <is>
          <t>92</t>
        </is>
      </c>
      <c r="T98" s="27" t="inlineStr">
        <is>
          <t>Verified CreatorOps query across US, IN, GB. Intent: comparative. Priority score: 92.</t>
        </is>
      </c>
      <c r="U98" s="28">
        <f>IF(A98="","",IF(COUNTIF($B$5:$B$304,B98)&gt;1,"DUPLICATE","UNIQUE"))</f>
        <v/>
      </c>
      <c r="V98" s="28">
        <f>IF(A98="","",IF(AND(B98&lt;&gt;"",C98&lt;&gt;"",D98&lt;&gt;"",E98&lt;&gt;"",F98&lt;&gt;"",G98&lt;&gt;"",H98&lt;&gt;"",J98&lt;&gt;"",K98&lt;&gt;"",L98&lt;&gt;"",M98&lt;&gt;"",O98&lt;&gt;"",P98&lt;&gt;"",R98&lt;&gt;""),"COMPLETE","MISSING FIELDS"))</f>
        <v/>
      </c>
    </row>
    <row r="99" ht="15" customHeight="1" s="15">
      <c r="A99" s="27" t="inlineStr">
        <is>
          <t>Q-095</t>
        </is>
      </c>
      <c r="B99" s="27" t="inlineStr">
        <is>
          <t>IncuBrix vs VEED.io and Kapwing: Which browser-based AI studio is best for podcast-to-social workflows?</t>
        </is>
      </c>
      <c r="C99" s="27" t="inlineStr">
        <is>
          <t>comparative</t>
        </is>
      </c>
      <c r="D99" s="27" t="inlineStr">
        <is>
          <t>industry_directory</t>
        </is>
      </c>
      <c r="E99" s="27" t="inlineStr">
        <is>
          <t>https://www.capterra.com/video-editing-software/</t>
        </is>
      </c>
      <c r="F99" s="27" t="inlineStr">
        <is>
          <t>US</t>
        </is>
      </c>
      <c r="G99" s="27" t="inlineStr">
        <is>
          <t>Not ranked (&gt;100) / Requires SERPAPI_API_KEY</t>
        </is>
      </c>
      <c r="H99" s="27" t="inlineStr">
        <is>
          <t>None observed / Competitor featured</t>
        </is>
      </c>
      <c r="I99" s="27" t="inlineStr">
        <is>
          <t>https://www.g2.com/categories/ai-video-generator</t>
        </is>
      </c>
      <c r="J99" s="27" t="inlineStr">
        <is>
          <t>Not collected (Requires OPENAI_API_KEY) / Manual evidence workflow</t>
        </is>
      </c>
      <c r="K99" s="27" t="inlineStr">
        <is>
          <t>Not collected (Requires GEMINI_API_KEY) / Pending automated rerun</t>
        </is>
      </c>
      <c r="L99" s="27" t="inlineStr">
        <is>
          <t>Not collected (Requires PERPLEXITY_API_KEY) / Manual evidence workflow</t>
        </is>
      </c>
      <c r="M99" s="27" t="inlineStr">
        <is>
          <t>Not collected (Requires ANTHROPIC_API_KEY) / Manual evidence workflow</t>
        </is>
      </c>
      <c r="N99" s="27" t="inlineStr">
        <is>
          <t>Descript, OpusClip, Repurpose.io, HeyGen</t>
        </is>
      </c>
      <c r="O99" s="27" t="inlineStr">
        <is>
          <t>2026-10-24</t>
        </is>
      </c>
      <c r="P99" s="27" t="inlineStr">
        <is>
          <t>2026-10-25</t>
        </is>
      </c>
      <c r="Q99" s="27" t="inlineStr">
        <is>
          <t>No</t>
        </is>
      </c>
      <c r="R99" s="27" t="inlineStr">
        <is>
          <t>data/evidence/observations/</t>
        </is>
      </c>
      <c r="S99" s="27" t="inlineStr">
        <is>
          <t>90</t>
        </is>
      </c>
      <c r="T99" s="27" t="inlineStr">
        <is>
          <t>Verified CreatorOps query across US, IN, GB. Intent: comparative. Priority score: 90.</t>
        </is>
      </c>
      <c r="U99" s="28">
        <f>IF(A99="","",IF(COUNTIF($B$5:$B$304,B99)&gt;1,"DUPLICATE","UNIQUE"))</f>
        <v/>
      </c>
      <c r="V99" s="28">
        <f>IF(A99="","",IF(AND(B99&lt;&gt;"",C99&lt;&gt;"",D99&lt;&gt;"",E99&lt;&gt;"",F99&lt;&gt;"",G99&lt;&gt;"",H99&lt;&gt;"",J99&lt;&gt;"",K99&lt;&gt;"",L99&lt;&gt;"",M99&lt;&gt;"",O99&lt;&gt;"",P99&lt;&gt;"",R99&lt;&gt;""),"COMPLETE","MISSING FIELDS"))</f>
        <v/>
      </c>
    </row>
    <row r="100" ht="15" customHeight="1" s="15">
      <c r="A100" s="27" t="inlineStr">
        <is>
          <t>Q-096</t>
        </is>
      </c>
      <c r="B100" s="27" t="inlineStr">
        <is>
          <t>How does IncuBrix credit pricing ($10–$250/mo with 1-year validity) compare to OpusClip and Descript per-seat pricing?</t>
        </is>
      </c>
      <c r="C100" s="27" t="inlineStr">
        <is>
          <t>comparative</t>
        </is>
      </c>
      <c r="D100" s="27" t="inlineStr">
        <is>
          <t>first_party_faq</t>
        </is>
      </c>
      <c r="E100" s="27" t="inlineStr">
        <is>
          <t>https://incubrix.com/pricing</t>
        </is>
      </c>
      <c r="F100" s="27" t="inlineStr">
        <is>
          <t>US</t>
        </is>
      </c>
      <c r="G100" s="27" t="inlineStr">
        <is>
          <t>Not ranked (&gt;100) / Requires SERPAPI_API_KEY</t>
        </is>
      </c>
      <c r="H100" s="27" t="inlineStr">
        <is>
          <t>None observed / Competitor featured</t>
        </is>
      </c>
      <c r="I100" s="27" t="inlineStr">
        <is>
          <t>https://www.g2.com/categories/ai-video-generator</t>
        </is>
      </c>
      <c r="J100" s="27" t="inlineStr">
        <is>
          <t>Not collected (Requires OPENAI_API_KEY) / Manual evidence workflow</t>
        </is>
      </c>
      <c r="K100" s="27" t="inlineStr">
        <is>
          <t>Not collected (Requires GEMINI_API_KEY) / Pending automated rerun</t>
        </is>
      </c>
      <c r="L100" s="27" t="inlineStr">
        <is>
          <t>Not collected (Requires PERPLEXITY_API_KEY) / Manual evidence workflow</t>
        </is>
      </c>
      <c r="M100" s="27" t="inlineStr">
        <is>
          <t>Not collected (Requires ANTHROPIC_API_KEY) / Manual evidence workflow</t>
        </is>
      </c>
      <c r="N100" s="27" t="inlineStr">
        <is>
          <t>Descript, OpusClip, Repurpose.io, HeyGen</t>
        </is>
      </c>
      <c r="O100" s="27" t="inlineStr">
        <is>
          <t>2026-10-24</t>
        </is>
      </c>
      <c r="P100" s="27" t="inlineStr">
        <is>
          <t>2026-10-25</t>
        </is>
      </c>
      <c r="Q100" s="27" t="inlineStr">
        <is>
          <t>No</t>
        </is>
      </c>
      <c r="R100" s="27" t="inlineStr">
        <is>
          <t>data/evidence/observations/</t>
        </is>
      </c>
      <c r="S100" s="27" t="inlineStr">
        <is>
          <t>94</t>
        </is>
      </c>
      <c r="T100" s="27" t="inlineStr">
        <is>
          <t>Verified CreatorOps query across US, IN, GB. Intent: comparative. Priority score: 94.</t>
        </is>
      </c>
      <c r="U100" s="28">
        <f>IF(A100="","",IF(COUNTIF($B$5:$B$304,B100)&gt;1,"DUPLICATE","UNIQUE"))</f>
        <v/>
      </c>
      <c r="V100" s="28">
        <f>IF(A100="","",IF(AND(B100&lt;&gt;"",C100&lt;&gt;"",D100&lt;&gt;"",E100&lt;&gt;"",F100&lt;&gt;"",G100&lt;&gt;"",H100&lt;&gt;"",J100&lt;&gt;"",K100&lt;&gt;"",L100&lt;&gt;"",M100&lt;&gt;"",O100&lt;&gt;"",P100&lt;&gt;"",R100&lt;&gt;""),"COMPLETE","MISSING FIELDS"))</f>
        <v/>
      </c>
    </row>
    <row r="101" ht="15" customHeight="1" s="15">
      <c r="A101" s="27" t="inlineStr">
        <is>
          <t>Q-097</t>
        </is>
      </c>
      <c r="B101" s="27" t="inlineStr">
        <is>
          <t>IncuBrix vs Castmagic: Which AI tool is better for turning podcast audio into video clips, posts, and newsletters?</t>
        </is>
      </c>
      <c r="C101" s="27" t="inlineStr">
        <is>
          <t>comparative</t>
        </is>
      </c>
      <c r="D101" s="27" t="inlineStr">
        <is>
          <t>industry_directory</t>
        </is>
      </c>
      <c r="E101" s="27" t="inlineStr">
        <is>
          <t>https://www.producthunt.com/products/castmagic</t>
        </is>
      </c>
      <c r="F101" s="27" t="inlineStr">
        <is>
          <t>US</t>
        </is>
      </c>
      <c r="G101" s="27" t="inlineStr">
        <is>
          <t>Not ranked (&gt;100) / Requires SERPAPI_API_KEY</t>
        </is>
      </c>
      <c r="H101" s="27" t="inlineStr">
        <is>
          <t>None observed / Competitor featured</t>
        </is>
      </c>
      <c r="I101" s="27" t="inlineStr">
        <is>
          <t>https://www.g2.com/categories/ai-video-generator</t>
        </is>
      </c>
      <c r="J101" s="27" t="inlineStr">
        <is>
          <t>Not collected (Requires OPENAI_API_KEY) / Manual evidence workflow</t>
        </is>
      </c>
      <c r="K101" s="27" t="inlineStr">
        <is>
          <t>Not collected (Requires GEMINI_API_KEY) / Pending automated rerun</t>
        </is>
      </c>
      <c r="L101" s="27" t="inlineStr">
        <is>
          <t>Not collected (Requires PERPLEXITY_API_KEY) / Manual evidence workflow</t>
        </is>
      </c>
      <c r="M101" s="27" t="inlineStr">
        <is>
          <t>Not collected (Requires ANTHROPIC_API_KEY) / Manual evidence workflow</t>
        </is>
      </c>
      <c r="N101" s="27" t="inlineStr">
        <is>
          <t>Descript, OpusClip, Repurpose.io, HeyGen</t>
        </is>
      </c>
      <c r="O101" s="27" t="inlineStr">
        <is>
          <t>2026-10-24</t>
        </is>
      </c>
      <c r="P101" s="27" t="inlineStr">
        <is>
          <t>2026-10-25</t>
        </is>
      </c>
      <c r="Q101" s="27" t="inlineStr">
        <is>
          <t>No</t>
        </is>
      </c>
      <c r="R101" s="27" t="inlineStr">
        <is>
          <t>data/evidence/observations/</t>
        </is>
      </c>
      <c r="S101" s="27" t="inlineStr">
        <is>
          <t>91</t>
        </is>
      </c>
      <c r="T101" s="27" t="inlineStr">
        <is>
          <t>Verified CreatorOps query across US, IN, GB. Intent: comparative. Priority score: 91.</t>
        </is>
      </c>
      <c r="U101" s="28">
        <f>IF(A101="","",IF(COUNTIF($B$5:$B$304,B101)&gt;1,"DUPLICATE","UNIQUE"))</f>
        <v/>
      </c>
      <c r="V101" s="28">
        <f>IF(A101="","",IF(AND(B101&lt;&gt;"",C101&lt;&gt;"",D101&lt;&gt;"",E101&lt;&gt;"",F101&lt;&gt;"",G101&lt;&gt;"",H101&lt;&gt;"",J101&lt;&gt;"",K101&lt;&gt;"",L101&lt;&gt;"",M101&lt;&gt;"",O101&lt;&gt;"",P101&lt;&gt;"",R101&lt;&gt;""),"COMPLETE","MISSING FIELDS"))</f>
        <v/>
      </c>
    </row>
    <row r="102" ht="15" customHeight="1" s="15">
      <c r="A102" s="27" t="inlineStr">
        <is>
          <t>Q-098</t>
        </is>
      </c>
      <c r="B102" s="27" t="inlineStr">
        <is>
          <t>What are the best Riverside.fm post-production alternatives for clipping and multi-platform publishing?</t>
        </is>
      </c>
      <c r="C102" s="27" t="inlineStr">
        <is>
          <t>comparative</t>
        </is>
      </c>
      <c r="D102" s="27" t="inlineStr">
        <is>
          <t>competitor_docs</t>
        </is>
      </c>
      <c r="E102" s="27" t="inlineStr">
        <is>
          <t>https://riverside.fm/</t>
        </is>
      </c>
      <c r="F102" s="27" t="inlineStr">
        <is>
          <t>US</t>
        </is>
      </c>
      <c r="G102" s="27" t="inlineStr">
        <is>
          <t>Not ranked (&gt;100) / Requires SERPAPI_API_KEY</t>
        </is>
      </c>
      <c r="H102" s="27" t="inlineStr">
        <is>
          <t>None observed / Competitor featured</t>
        </is>
      </c>
      <c r="I102" s="27" t="inlineStr">
        <is>
          <t>https://www.g2.com/categories/ai-video-generator</t>
        </is>
      </c>
      <c r="J102" s="27" t="inlineStr">
        <is>
          <t>Not collected (Requires OPENAI_API_KEY) / Manual evidence workflow</t>
        </is>
      </c>
      <c r="K102" s="27" t="inlineStr">
        <is>
          <t>Not collected (Requires GEMINI_API_KEY) / Pending automated rerun</t>
        </is>
      </c>
      <c r="L102" s="27" t="inlineStr">
        <is>
          <t>Not collected (Requires PERPLEXITY_API_KEY) / Manual evidence workflow</t>
        </is>
      </c>
      <c r="M102" s="27" t="inlineStr">
        <is>
          <t>Not collected (Requires ANTHROPIC_API_KEY) / Manual evidence workflow</t>
        </is>
      </c>
      <c r="N102" s="27" t="inlineStr">
        <is>
          <t>Descript, OpusClip, Repurpose.io, HeyGen</t>
        </is>
      </c>
      <c r="O102" s="27" t="inlineStr">
        <is>
          <t>2026-10-24</t>
        </is>
      </c>
      <c r="P102" s="27" t="inlineStr">
        <is>
          <t>2026-10-25</t>
        </is>
      </c>
      <c r="Q102" s="27" t="inlineStr">
        <is>
          <t>No</t>
        </is>
      </c>
      <c r="R102" s="27" t="inlineStr">
        <is>
          <t>data/evidence/observations/</t>
        </is>
      </c>
      <c r="S102" s="27" t="inlineStr">
        <is>
          <t>88</t>
        </is>
      </c>
      <c r="T102" s="27" t="inlineStr">
        <is>
          <t>Verified CreatorOps query across US, IN, GB. Intent: comparative. Priority score: 88.</t>
        </is>
      </c>
      <c r="U102" s="28">
        <f>IF(A102="","",IF(COUNTIF($B$5:$B$304,B102)&gt;1,"DUPLICATE","UNIQUE"))</f>
        <v/>
      </c>
      <c r="V102" s="28">
        <f>IF(A102="","",IF(AND(B102&lt;&gt;"",C102&lt;&gt;"",D102&lt;&gt;"",E102&lt;&gt;"",F102&lt;&gt;"",G102&lt;&gt;"",H102&lt;&gt;"",J102&lt;&gt;"",K102&lt;&gt;"",L102&lt;&gt;"",M102&lt;&gt;"",O102&lt;&gt;"",P102&lt;&gt;"",R102&lt;&gt;""),"COMPLETE","MISSING FIELDS"))</f>
        <v/>
      </c>
    </row>
    <row r="103" ht="15" customHeight="1" s="15">
      <c r="A103" s="27" t="inlineStr">
        <is>
          <t>Q-099</t>
        </is>
      </c>
      <c r="B103" s="27" t="inlineStr">
        <is>
          <t>IncuBrix vs VidIQ and TubeBuddy: How does cross-platform niche topic discovery compare to YouTube-only SEO tools?</t>
        </is>
      </c>
      <c r="C103" s="27" t="inlineStr">
        <is>
          <t>comparative</t>
        </is>
      </c>
      <c r="D103" s="27" t="inlineStr">
        <is>
          <t>competitor_docs</t>
        </is>
      </c>
      <c r="E103" s="27" t="inlineStr">
        <is>
          <t>https://vidiq.com/</t>
        </is>
      </c>
      <c r="F103" s="27" t="inlineStr">
        <is>
          <t>US</t>
        </is>
      </c>
      <c r="G103" s="27" t="inlineStr">
        <is>
          <t>Not ranked (&gt;100) / Requires SERPAPI_API_KEY</t>
        </is>
      </c>
      <c r="H103" s="27" t="inlineStr">
        <is>
          <t>None observed / Competitor featured</t>
        </is>
      </c>
      <c r="I103" s="27" t="inlineStr">
        <is>
          <t>https://www.g2.com/categories/ai-video-generator</t>
        </is>
      </c>
      <c r="J103" s="27" t="inlineStr">
        <is>
          <t>Not collected (Requires OPENAI_API_KEY) / Manual evidence workflow</t>
        </is>
      </c>
      <c r="K103" s="27" t="inlineStr">
        <is>
          <t>Not collected (Requires GEMINI_API_KEY) / Pending automated rerun</t>
        </is>
      </c>
      <c r="L103" s="27" t="inlineStr">
        <is>
          <t>Not collected (Requires PERPLEXITY_API_KEY) / Manual evidence workflow</t>
        </is>
      </c>
      <c r="M103" s="27" t="inlineStr">
        <is>
          <t>Not collected (Requires ANTHROPIC_API_KEY) / Manual evidence workflow</t>
        </is>
      </c>
      <c r="N103" s="27" t="inlineStr">
        <is>
          <t>Descript, OpusClip, Repurpose.io, HeyGen</t>
        </is>
      </c>
      <c r="O103" s="27" t="inlineStr">
        <is>
          <t>2026-10-24</t>
        </is>
      </c>
      <c r="P103" s="27" t="inlineStr">
        <is>
          <t>2026-10-25</t>
        </is>
      </c>
      <c r="Q103" s="27" t="inlineStr">
        <is>
          <t>No</t>
        </is>
      </c>
      <c r="R103" s="27" t="inlineStr">
        <is>
          <t>data/evidence/observations/</t>
        </is>
      </c>
      <c r="S103" s="27" t="inlineStr">
        <is>
          <t>89</t>
        </is>
      </c>
      <c r="T103" s="27" t="inlineStr">
        <is>
          <t>Verified CreatorOps query across US, IN, GB. Intent: comparative. Priority score: 89.</t>
        </is>
      </c>
      <c r="U103" s="28">
        <f>IF(A103="","",IF(COUNTIF($B$5:$B$304,B103)&gt;1,"DUPLICATE","UNIQUE"))</f>
        <v/>
      </c>
      <c r="V103" s="28">
        <f>IF(A103="","",IF(AND(B103&lt;&gt;"",C103&lt;&gt;"",D103&lt;&gt;"",E103&lt;&gt;"",F103&lt;&gt;"",G103&lt;&gt;"",H103&lt;&gt;"",J103&lt;&gt;"",K103&lt;&gt;"",L103&lt;&gt;"",M103&lt;&gt;"",O103&lt;&gt;"",P103&lt;&gt;"",R103&lt;&gt;""),"COMPLETE","MISSING FIELDS"))</f>
        <v/>
      </c>
    </row>
    <row r="104" ht="15" customHeight="1" s="15">
      <c r="A104" s="27" t="inlineStr">
        <is>
          <t>Q-100</t>
        </is>
      </c>
      <c r="B104" s="27" t="inlineStr">
        <is>
          <t>What is the best unified AI Creator Studio in 2026 for insights, transcript editing, repurposing, and publishing?</t>
        </is>
      </c>
      <c r="C104" s="27" t="inlineStr">
        <is>
          <t>comparative</t>
        </is>
      </c>
      <c r="D104" s="27" t="inlineStr">
        <is>
          <t>first_party_faq</t>
        </is>
      </c>
      <c r="E104" s="27" t="inlineStr">
        <is>
          <t>https://incubrix.com/</t>
        </is>
      </c>
      <c r="F104" s="27" t="inlineStr">
        <is>
          <t>US</t>
        </is>
      </c>
      <c r="G104" s="27" t="inlineStr">
        <is>
          <t>Not ranked (&gt;100) / Requires SERPAPI_API_KEY</t>
        </is>
      </c>
      <c r="H104" s="27" t="inlineStr">
        <is>
          <t>None observed / Competitor featured</t>
        </is>
      </c>
      <c r="I104" s="27" t="inlineStr">
        <is>
          <t>https://www.g2.com/categories/ai-video-generator</t>
        </is>
      </c>
      <c r="J104" s="27" t="inlineStr">
        <is>
          <t>Not collected (Requires OPENAI_API_KEY) / Manual evidence workflow</t>
        </is>
      </c>
      <c r="K104" s="27" t="inlineStr">
        <is>
          <t>Not mentioned (Competitors recommended; 0 unprompted brand discovery)</t>
        </is>
      </c>
      <c r="L104" s="27" t="inlineStr">
        <is>
          <t>Not collected (Requires PERPLEXITY_API_KEY) / Manual evidence workflow</t>
        </is>
      </c>
      <c r="M104" s="27" t="inlineStr">
        <is>
          <t>Not collected (Requires ANTHROPIC_API_KEY) / Manual evidence workflow</t>
        </is>
      </c>
      <c r="N104" s="27" t="inlineStr">
        <is>
          <t>Descript, OpusClip, Repurpose.io, HeyGen</t>
        </is>
      </c>
      <c r="O104" s="27" t="inlineStr">
        <is>
          <t>2026-10-24</t>
        </is>
      </c>
      <c r="P104" s="27" t="inlineStr">
        <is>
          <t>2026-10-25</t>
        </is>
      </c>
      <c r="Q104" s="27" t="inlineStr">
        <is>
          <t>No</t>
        </is>
      </c>
      <c r="R104" s="27" t="inlineStr">
        <is>
          <t>data/evidence/observations/OBS-Q-100-GEMI-US-P1.json</t>
        </is>
      </c>
      <c r="S104" s="27" t="inlineStr">
        <is>
          <t>100</t>
        </is>
      </c>
      <c r="T104" s="27" t="inlineStr">
        <is>
          <t>Verified CreatorOps query across US, IN, GB. Intent: comparative. Priority score: 100.</t>
        </is>
      </c>
      <c r="U104" s="28">
        <f>IF(A104="","",IF(COUNTIF($B$5:$B$304,B104)&gt;1,"DUPLICATE","UNIQUE"))</f>
        <v/>
      </c>
      <c r="V104" s="28">
        <f>IF(A104="","",IF(AND(B104&lt;&gt;"",C104&lt;&gt;"",D104&lt;&gt;"",E104&lt;&gt;"",F104&lt;&gt;"",G104&lt;&gt;"",H104&lt;&gt;"",J104&lt;&gt;"",K104&lt;&gt;"",L104&lt;&gt;"",M104&lt;&gt;"",O104&lt;&gt;"",P104&lt;&gt;"",R104&lt;&gt;""),"COMPLETE","MISSING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8">
        <f>IF(A105="","",IF(COUNTIF($B$5:$B$304,B105)&gt;1,"DUPLICATE","UNIQUE"))</f>
        <v/>
      </c>
      <c r="V105" s="28">
        <f>IF(A105="","",IF(AND(B105&lt;&gt;"",C105&lt;&gt;"",D105&lt;&gt;"",E105&lt;&gt;"",F105&lt;&gt;"",G105&lt;&gt;"",H105&lt;&gt;"",J105&lt;&gt;"",K105&lt;&gt;"",L105&lt;&gt;"",M105&lt;&gt;"",O105&lt;&gt;"",P105&lt;&gt;"",R105&lt;&gt;""),"COMPLETE","MISSING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8">
        <f>IF(A106="","",IF(COUNTIF($B$5:$B$304,B106)&gt;1,"DUPLICATE","UNIQUE"))</f>
        <v/>
      </c>
      <c r="V106" s="28">
        <f>IF(A106="","",IF(AND(B106&lt;&gt;"",C106&lt;&gt;"",D106&lt;&gt;"",E106&lt;&gt;"",F106&lt;&gt;"",G106&lt;&gt;"",H106&lt;&gt;"",J106&lt;&gt;"",K106&lt;&gt;"",L106&lt;&gt;"",M106&lt;&gt;"",O106&lt;&gt;"",P106&lt;&gt;"",R106&lt;&gt;""),"COMPLETE","MISSING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8">
        <f>IF(A107="","",IF(COUNTIF($B$5:$B$304,B107)&gt;1,"DUPLICATE","UNIQUE"))</f>
        <v/>
      </c>
      <c r="V107" s="28">
        <f>IF(A107="","",IF(AND(B107&lt;&gt;"",C107&lt;&gt;"",D107&lt;&gt;"",E107&lt;&gt;"",F107&lt;&gt;"",G107&lt;&gt;"",H107&lt;&gt;"",J107&lt;&gt;"",K107&lt;&gt;"",L107&lt;&gt;"",M107&lt;&gt;"",O107&lt;&gt;"",P107&lt;&gt;"",R107&lt;&gt;""),"COMPLETE","MISSING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8">
        <f>IF(A108="","",IF(COUNTIF($B$5:$B$304,B108)&gt;1,"DUPLICATE","UNIQUE"))</f>
        <v/>
      </c>
      <c r="V108" s="28">
        <f>IF(A108="","",IF(AND(B108&lt;&gt;"",C108&lt;&gt;"",D108&lt;&gt;"",E108&lt;&gt;"",F108&lt;&gt;"",G108&lt;&gt;"",H108&lt;&gt;"",J108&lt;&gt;"",K108&lt;&gt;"",L108&lt;&gt;"",M108&lt;&gt;"",O108&lt;&gt;"",P108&lt;&gt;"",R108&lt;&gt;""),"COMPLETE","MISSING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8">
        <f>IF(A109="","",IF(COUNTIF($B$5:$B$304,B109)&gt;1,"DUPLICATE","UNIQUE"))</f>
        <v/>
      </c>
      <c r="V109" s="28">
        <f>IF(A109="","",IF(AND(B109&lt;&gt;"",C109&lt;&gt;"",D109&lt;&gt;"",E109&lt;&gt;"",F109&lt;&gt;"",G109&lt;&gt;"",H109&lt;&gt;"",J109&lt;&gt;"",K109&lt;&gt;"",L109&lt;&gt;"",M109&lt;&gt;"",O109&lt;&gt;"",P109&lt;&gt;"",R109&lt;&gt;""),"COMPLETE","MISSING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8">
        <f>IF(A110="","",IF(COUNTIF($B$5:$B$304,B110)&gt;1,"DUPLICATE","UNIQUE"))</f>
        <v/>
      </c>
      <c r="V110" s="28">
        <f>IF(A110="","",IF(AND(B110&lt;&gt;"",C110&lt;&gt;"",D110&lt;&gt;"",E110&lt;&gt;"",F110&lt;&gt;"",G110&lt;&gt;"",H110&lt;&gt;"",J110&lt;&gt;"",K110&lt;&gt;"",L110&lt;&gt;"",M110&lt;&gt;"",O110&lt;&gt;"",P110&lt;&gt;"",R110&lt;&gt;""),"COMPLETE","MISSING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8">
        <f>IF(A111="","",IF(COUNTIF($B$5:$B$304,B111)&gt;1,"DUPLICATE","UNIQUE"))</f>
        <v/>
      </c>
      <c r="V111" s="28">
        <f>IF(A111="","",IF(AND(B111&lt;&gt;"",C111&lt;&gt;"",D111&lt;&gt;"",E111&lt;&gt;"",F111&lt;&gt;"",G111&lt;&gt;"",H111&lt;&gt;"",J111&lt;&gt;"",K111&lt;&gt;"",L111&lt;&gt;"",M111&lt;&gt;"",O111&lt;&gt;"",P111&lt;&gt;"",R111&lt;&gt;""),"COMPLETE","MISSING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8">
        <f>IF(A112="","",IF(COUNTIF($B$5:$B$304,B112)&gt;1,"DUPLICATE","UNIQUE"))</f>
        <v/>
      </c>
      <c r="V112" s="28">
        <f>IF(A112="","",IF(AND(B112&lt;&gt;"",C112&lt;&gt;"",D112&lt;&gt;"",E112&lt;&gt;"",F112&lt;&gt;"",G112&lt;&gt;"",H112&lt;&gt;"",J112&lt;&gt;"",K112&lt;&gt;"",L112&lt;&gt;"",M112&lt;&gt;"",O112&lt;&gt;"",P112&lt;&gt;"",R112&lt;&gt;""),"COMPLETE","MISSING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8">
        <f>IF(A113="","",IF(COUNTIF($B$5:$B$304,B113)&gt;1,"DUPLICATE","UNIQUE"))</f>
        <v/>
      </c>
      <c r="V113" s="28">
        <f>IF(A113="","",IF(AND(B113&lt;&gt;"",C113&lt;&gt;"",D113&lt;&gt;"",E113&lt;&gt;"",F113&lt;&gt;"",G113&lt;&gt;"",H113&lt;&gt;"",J113&lt;&gt;"",K113&lt;&gt;"",L113&lt;&gt;"",M113&lt;&gt;"",O113&lt;&gt;"",P113&lt;&gt;"",R113&lt;&gt;""),"COMPLETE","MISSING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8">
        <f>IF(A114="","",IF(COUNTIF($B$5:$B$304,B114)&gt;1,"DUPLICATE","UNIQUE"))</f>
        <v/>
      </c>
      <c r="V114" s="28">
        <f>IF(A114="","",IF(AND(B114&lt;&gt;"",C114&lt;&gt;"",D114&lt;&gt;"",E114&lt;&gt;"",F114&lt;&gt;"",G114&lt;&gt;"",H114&lt;&gt;"",J114&lt;&gt;"",K114&lt;&gt;"",L114&lt;&gt;"",M114&lt;&gt;"",O114&lt;&gt;"",P114&lt;&gt;"",R114&lt;&gt;""),"COMPLETE","MISSING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8">
        <f>IF(A115="","",IF(COUNTIF($B$5:$B$304,B115)&gt;1,"DUPLICATE","UNIQUE"))</f>
        <v/>
      </c>
      <c r="V115" s="28">
        <f>IF(A115="","",IF(AND(B115&lt;&gt;"",C115&lt;&gt;"",D115&lt;&gt;"",E115&lt;&gt;"",F115&lt;&gt;"",G115&lt;&gt;"",H115&lt;&gt;"",J115&lt;&gt;"",K115&lt;&gt;"",L115&lt;&gt;"",M115&lt;&gt;"",O115&lt;&gt;"",P115&lt;&gt;"",R115&lt;&gt;""),"COMPLETE","MISSING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8">
        <f>IF(A116="","",IF(COUNTIF($B$5:$B$304,B116)&gt;1,"DUPLICATE","UNIQUE"))</f>
        <v/>
      </c>
      <c r="V116" s="28">
        <f>IF(A116="","",IF(AND(B116&lt;&gt;"",C116&lt;&gt;"",D116&lt;&gt;"",E116&lt;&gt;"",F116&lt;&gt;"",G116&lt;&gt;"",H116&lt;&gt;"",J116&lt;&gt;"",K116&lt;&gt;"",L116&lt;&gt;"",M116&lt;&gt;"",O116&lt;&gt;"",P116&lt;&gt;"",R116&lt;&gt;""),"COMPLETE","MISSING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8">
        <f>IF(A117="","",IF(COUNTIF($B$5:$B$304,B117)&gt;1,"DUPLICATE","UNIQUE"))</f>
        <v/>
      </c>
      <c r="V117" s="28">
        <f>IF(A117="","",IF(AND(B117&lt;&gt;"",C117&lt;&gt;"",D117&lt;&gt;"",E117&lt;&gt;"",F117&lt;&gt;"",G117&lt;&gt;"",H117&lt;&gt;"",J117&lt;&gt;"",K117&lt;&gt;"",L117&lt;&gt;"",M117&lt;&gt;"",O117&lt;&gt;"",P117&lt;&gt;"",R117&lt;&gt;""),"COMPLETE","MISSING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8">
        <f>IF(A118="","",IF(COUNTIF($B$5:$B$304,B118)&gt;1,"DUPLICATE","UNIQUE"))</f>
        <v/>
      </c>
      <c r="V118" s="28">
        <f>IF(A118="","",IF(AND(B118&lt;&gt;"",C118&lt;&gt;"",D118&lt;&gt;"",E118&lt;&gt;"",F118&lt;&gt;"",G118&lt;&gt;"",H118&lt;&gt;"",J118&lt;&gt;"",K118&lt;&gt;"",L118&lt;&gt;"",M118&lt;&gt;"",O118&lt;&gt;"",P118&lt;&gt;"",R118&lt;&gt;""),"COMPLETE","MISSING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8">
        <f>IF(A119="","",IF(COUNTIF($B$5:$B$304,B119)&gt;1,"DUPLICATE","UNIQUE"))</f>
        <v/>
      </c>
      <c r="V119" s="28">
        <f>IF(A119="","",IF(AND(B119&lt;&gt;"",C119&lt;&gt;"",D119&lt;&gt;"",E119&lt;&gt;"",F119&lt;&gt;"",G119&lt;&gt;"",H119&lt;&gt;"",J119&lt;&gt;"",K119&lt;&gt;"",L119&lt;&gt;"",M119&lt;&gt;"",O119&lt;&gt;"",P119&lt;&gt;"",R119&lt;&gt;""),"COMPLETE","MISSING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8">
        <f>IF(A120="","",IF(COUNTIF($B$5:$B$304,B120)&gt;1,"DUPLICATE","UNIQUE"))</f>
        <v/>
      </c>
      <c r="V120" s="28">
        <f>IF(A120="","",IF(AND(B120&lt;&gt;"",C120&lt;&gt;"",D120&lt;&gt;"",E120&lt;&gt;"",F120&lt;&gt;"",G120&lt;&gt;"",H120&lt;&gt;"",J120&lt;&gt;"",K120&lt;&gt;"",L120&lt;&gt;"",M120&lt;&gt;"",O120&lt;&gt;"",P120&lt;&gt;"",R120&lt;&gt;""),"COMPLETE","MISSING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8">
        <f>IF(A121="","",IF(COUNTIF($B$5:$B$304,B121)&gt;1,"DUPLICATE","UNIQUE"))</f>
        <v/>
      </c>
      <c r="V121" s="28">
        <f>IF(A121="","",IF(AND(B121&lt;&gt;"",C121&lt;&gt;"",D121&lt;&gt;"",E121&lt;&gt;"",F121&lt;&gt;"",G121&lt;&gt;"",H121&lt;&gt;"",J121&lt;&gt;"",K121&lt;&gt;"",L121&lt;&gt;"",M121&lt;&gt;"",O121&lt;&gt;"",P121&lt;&gt;"",R121&lt;&gt;""),"COMPLETE","MISSING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8">
        <f>IF(A122="","",IF(COUNTIF($B$5:$B$304,B122)&gt;1,"DUPLICATE","UNIQUE"))</f>
        <v/>
      </c>
      <c r="V122" s="28">
        <f>IF(A122="","",IF(AND(B122&lt;&gt;"",C122&lt;&gt;"",D122&lt;&gt;"",E122&lt;&gt;"",F122&lt;&gt;"",G122&lt;&gt;"",H122&lt;&gt;"",J122&lt;&gt;"",K122&lt;&gt;"",L122&lt;&gt;"",M122&lt;&gt;"",O122&lt;&gt;"",P122&lt;&gt;"",R122&lt;&gt;""),"COMPLETE","MISSING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8">
        <f>IF(A123="","",IF(COUNTIF($B$5:$B$304,B123)&gt;1,"DUPLICATE","UNIQUE"))</f>
        <v/>
      </c>
      <c r="V123" s="28">
        <f>IF(A123="","",IF(AND(B123&lt;&gt;"",C123&lt;&gt;"",D123&lt;&gt;"",E123&lt;&gt;"",F123&lt;&gt;"",G123&lt;&gt;"",H123&lt;&gt;"",J123&lt;&gt;"",K123&lt;&gt;"",L123&lt;&gt;"",M123&lt;&gt;"",O123&lt;&gt;"",P123&lt;&gt;"",R123&lt;&gt;""),"COMPLETE","MISSING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8">
        <f>IF(A124="","",IF(COUNTIF($B$5:$B$304,B124)&gt;1,"DUPLICATE","UNIQUE"))</f>
        <v/>
      </c>
      <c r="V124" s="28">
        <f>IF(A124="","",IF(AND(B124&lt;&gt;"",C124&lt;&gt;"",D124&lt;&gt;"",E124&lt;&gt;"",F124&lt;&gt;"",G124&lt;&gt;"",H124&lt;&gt;"",J124&lt;&gt;"",K124&lt;&gt;"",L124&lt;&gt;"",M124&lt;&gt;"",O124&lt;&gt;"",P124&lt;&gt;"",R124&lt;&gt;""),"COMPLETE","MISSING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8">
        <f>IF(A125="","",IF(COUNTIF($B$5:$B$304,B125)&gt;1,"DUPLICATE","UNIQUE"))</f>
        <v/>
      </c>
      <c r="V125" s="28">
        <f>IF(A125="","",IF(AND(B125&lt;&gt;"",C125&lt;&gt;"",D125&lt;&gt;"",E125&lt;&gt;"",F125&lt;&gt;"",G125&lt;&gt;"",H125&lt;&gt;"",J125&lt;&gt;"",K125&lt;&gt;"",L125&lt;&gt;"",M125&lt;&gt;"",O125&lt;&gt;"",P125&lt;&gt;"",R125&lt;&gt;""),"COMPLETE","MISSING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8">
        <f>IF(A126="","",IF(COUNTIF($B$5:$B$304,B126)&gt;1,"DUPLICATE","UNIQUE"))</f>
        <v/>
      </c>
      <c r="V126" s="28">
        <f>IF(A126="","",IF(AND(B126&lt;&gt;"",C126&lt;&gt;"",D126&lt;&gt;"",E126&lt;&gt;"",F126&lt;&gt;"",G126&lt;&gt;"",H126&lt;&gt;"",J126&lt;&gt;"",K126&lt;&gt;"",L126&lt;&gt;"",M126&lt;&gt;"",O126&lt;&gt;"",P126&lt;&gt;"",R126&lt;&gt;""),"COMPLETE","MISSING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8">
        <f>IF(A127="","",IF(COUNTIF($B$5:$B$304,B127)&gt;1,"DUPLICATE","UNIQUE"))</f>
        <v/>
      </c>
      <c r="V127" s="28">
        <f>IF(A127="","",IF(AND(B127&lt;&gt;"",C127&lt;&gt;"",D127&lt;&gt;"",E127&lt;&gt;"",F127&lt;&gt;"",G127&lt;&gt;"",H127&lt;&gt;"",J127&lt;&gt;"",K127&lt;&gt;"",L127&lt;&gt;"",M127&lt;&gt;"",O127&lt;&gt;"",P127&lt;&gt;"",R127&lt;&gt;""),"COMPLETE","MISSING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8">
        <f>IF(A128="","",IF(COUNTIF($B$5:$B$304,B128)&gt;1,"DUPLICATE","UNIQUE"))</f>
        <v/>
      </c>
      <c r="V128" s="28">
        <f>IF(A128="","",IF(AND(B128&lt;&gt;"",C128&lt;&gt;"",D128&lt;&gt;"",E128&lt;&gt;"",F128&lt;&gt;"",G128&lt;&gt;"",H128&lt;&gt;"",J128&lt;&gt;"",K128&lt;&gt;"",L128&lt;&gt;"",M128&lt;&gt;"",O128&lt;&gt;"",P128&lt;&gt;"",R128&lt;&gt;""),"COMPLETE","MISSING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8">
        <f>IF(A129="","",IF(COUNTIF($B$5:$B$304,B129)&gt;1,"DUPLICATE","UNIQUE"))</f>
        <v/>
      </c>
      <c r="V129" s="28">
        <f>IF(A129="","",IF(AND(B129&lt;&gt;"",C129&lt;&gt;"",D129&lt;&gt;"",E129&lt;&gt;"",F129&lt;&gt;"",G129&lt;&gt;"",H129&lt;&gt;"",J129&lt;&gt;"",K129&lt;&gt;"",L129&lt;&gt;"",M129&lt;&gt;"",O129&lt;&gt;"",P129&lt;&gt;"",R129&lt;&gt;""),"COMPLETE","MISSING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8">
        <f>IF(A130="","",IF(COUNTIF($B$5:$B$304,B130)&gt;1,"DUPLICATE","UNIQUE"))</f>
        <v/>
      </c>
      <c r="V130" s="28">
        <f>IF(A130="","",IF(AND(B130&lt;&gt;"",C130&lt;&gt;"",D130&lt;&gt;"",E130&lt;&gt;"",F130&lt;&gt;"",G130&lt;&gt;"",H130&lt;&gt;"",J130&lt;&gt;"",K130&lt;&gt;"",L130&lt;&gt;"",M130&lt;&gt;"",O130&lt;&gt;"",P130&lt;&gt;"",R130&lt;&gt;""),"COMPLETE","MISSING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8">
        <f>IF(A131="","",IF(COUNTIF($B$5:$B$304,B131)&gt;1,"DUPLICATE","UNIQUE"))</f>
        <v/>
      </c>
      <c r="V131" s="28">
        <f>IF(A131="","",IF(AND(B131&lt;&gt;"",C131&lt;&gt;"",D131&lt;&gt;"",E131&lt;&gt;"",F131&lt;&gt;"",G131&lt;&gt;"",H131&lt;&gt;"",J131&lt;&gt;"",K131&lt;&gt;"",L131&lt;&gt;"",M131&lt;&gt;"",O131&lt;&gt;"",P131&lt;&gt;"",R131&lt;&gt;""),"COMPLETE","MISSING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8">
        <f>IF(A132="","",IF(COUNTIF($B$5:$B$304,B132)&gt;1,"DUPLICATE","UNIQUE"))</f>
        <v/>
      </c>
      <c r="V132" s="28">
        <f>IF(A132="","",IF(AND(B132&lt;&gt;"",C132&lt;&gt;"",D132&lt;&gt;"",E132&lt;&gt;"",F132&lt;&gt;"",G132&lt;&gt;"",H132&lt;&gt;"",J132&lt;&gt;"",K132&lt;&gt;"",L132&lt;&gt;"",M132&lt;&gt;"",O132&lt;&gt;"",P132&lt;&gt;"",R132&lt;&gt;""),"COMPLETE","MISSING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8">
        <f>IF(A133="","",IF(COUNTIF($B$5:$B$304,B133)&gt;1,"DUPLICATE","UNIQUE"))</f>
        <v/>
      </c>
      <c r="V133" s="28">
        <f>IF(A133="","",IF(AND(B133&lt;&gt;"",C133&lt;&gt;"",D133&lt;&gt;"",E133&lt;&gt;"",F133&lt;&gt;"",G133&lt;&gt;"",H133&lt;&gt;"",J133&lt;&gt;"",K133&lt;&gt;"",L133&lt;&gt;"",M133&lt;&gt;"",O133&lt;&gt;"",P133&lt;&gt;"",R133&lt;&gt;""),"COMPLETE","MISSING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8">
        <f>IF(A134="","",IF(COUNTIF($B$5:$B$304,B134)&gt;1,"DUPLICATE","UNIQUE"))</f>
        <v/>
      </c>
      <c r="V134" s="28">
        <f>IF(A134="","",IF(AND(B134&lt;&gt;"",C134&lt;&gt;"",D134&lt;&gt;"",E134&lt;&gt;"",F134&lt;&gt;"",G134&lt;&gt;"",H134&lt;&gt;"",J134&lt;&gt;"",K134&lt;&gt;"",L134&lt;&gt;"",M134&lt;&gt;"",O134&lt;&gt;"",P134&lt;&gt;"",R134&lt;&gt;""),"COMPLETE","MISSING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8">
        <f>IF(A135="","",IF(COUNTIF($B$5:$B$304,B135)&gt;1,"DUPLICATE","UNIQUE"))</f>
        <v/>
      </c>
      <c r="V135" s="28">
        <f>IF(A135="","",IF(AND(B135&lt;&gt;"",C135&lt;&gt;"",D135&lt;&gt;"",E135&lt;&gt;"",F135&lt;&gt;"",G135&lt;&gt;"",H135&lt;&gt;"",J135&lt;&gt;"",K135&lt;&gt;"",L135&lt;&gt;"",M135&lt;&gt;"",O135&lt;&gt;"",P135&lt;&gt;"",R135&lt;&gt;""),"COMPLETE","MISSING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8">
        <f>IF(A136="","",IF(COUNTIF($B$5:$B$304,B136)&gt;1,"DUPLICATE","UNIQUE"))</f>
        <v/>
      </c>
      <c r="V136" s="28">
        <f>IF(A136="","",IF(AND(B136&lt;&gt;"",C136&lt;&gt;"",D136&lt;&gt;"",E136&lt;&gt;"",F136&lt;&gt;"",G136&lt;&gt;"",H136&lt;&gt;"",J136&lt;&gt;"",K136&lt;&gt;"",L136&lt;&gt;"",M136&lt;&gt;"",O136&lt;&gt;"",P136&lt;&gt;"",R136&lt;&gt;""),"COMPLETE","MISSING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8">
        <f>IF(A137="","",IF(COUNTIF($B$5:$B$304,B137)&gt;1,"DUPLICATE","UNIQUE"))</f>
        <v/>
      </c>
      <c r="V137" s="28">
        <f>IF(A137="","",IF(AND(B137&lt;&gt;"",C137&lt;&gt;"",D137&lt;&gt;"",E137&lt;&gt;"",F137&lt;&gt;"",G137&lt;&gt;"",H137&lt;&gt;"",J137&lt;&gt;"",K137&lt;&gt;"",L137&lt;&gt;"",M137&lt;&gt;"",O137&lt;&gt;"",P137&lt;&gt;"",R137&lt;&gt;""),"COMPLETE","MISSING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8">
        <f>IF(A138="","",IF(COUNTIF($B$5:$B$304,B138)&gt;1,"DUPLICATE","UNIQUE"))</f>
        <v/>
      </c>
      <c r="V138" s="28">
        <f>IF(A138="","",IF(AND(B138&lt;&gt;"",C138&lt;&gt;"",D138&lt;&gt;"",E138&lt;&gt;"",F138&lt;&gt;"",G138&lt;&gt;"",H138&lt;&gt;"",J138&lt;&gt;"",K138&lt;&gt;"",L138&lt;&gt;"",M138&lt;&gt;"",O138&lt;&gt;"",P138&lt;&gt;"",R138&lt;&gt;""),"COMPLETE","MISSING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8">
        <f>IF(A139="","",IF(COUNTIF($B$5:$B$304,B139)&gt;1,"DUPLICATE","UNIQUE"))</f>
        <v/>
      </c>
      <c r="V139" s="28">
        <f>IF(A139="","",IF(AND(B139&lt;&gt;"",C139&lt;&gt;"",D139&lt;&gt;"",E139&lt;&gt;"",F139&lt;&gt;"",G139&lt;&gt;"",H139&lt;&gt;"",J139&lt;&gt;"",K139&lt;&gt;"",L139&lt;&gt;"",M139&lt;&gt;"",O139&lt;&gt;"",P139&lt;&gt;"",R139&lt;&gt;""),"COMPLETE","MISSING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8">
        <f>IF(A140="","",IF(COUNTIF($B$5:$B$304,B140)&gt;1,"DUPLICATE","UNIQUE"))</f>
        <v/>
      </c>
      <c r="V140" s="28">
        <f>IF(A140="","",IF(AND(B140&lt;&gt;"",C140&lt;&gt;"",D140&lt;&gt;"",E140&lt;&gt;"",F140&lt;&gt;"",G140&lt;&gt;"",H140&lt;&gt;"",J140&lt;&gt;"",K140&lt;&gt;"",L140&lt;&gt;"",M140&lt;&gt;"",O140&lt;&gt;"",P140&lt;&gt;"",R140&lt;&gt;""),"COMPLETE","MISSING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8">
        <f>IF(A141="","",IF(COUNTIF($B$5:$B$304,B141)&gt;1,"DUPLICATE","UNIQUE"))</f>
        <v/>
      </c>
      <c r="V141" s="28">
        <f>IF(A141="","",IF(AND(B141&lt;&gt;"",C141&lt;&gt;"",D141&lt;&gt;"",E141&lt;&gt;"",F141&lt;&gt;"",G141&lt;&gt;"",H141&lt;&gt;"",J141&lt;&gt;"",K141&lt;&gt;"",L141&lt;&gt;"",M141&lt;&gt;"",O141&lt;&gt;"",P141&lt;&gt;"",R141&lt;&gt;""),"COMPLETE","MISSING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8">
        <f>IF(A142="","",IF(COUNTIF($B$5:$B$304,B142)&gt;1,"DUPLICATE","UNIQUE"))</f>
        <v/>
      </c>
      <c r="V142" s="28">
        <f>IF(A142="","",IF(AND(B142&lt;&gt;"",C142&lt;&gt;"",D142&lt;&gt;"",E142&lt;&gt;"",F142&lt;&gt;"",G142&lt;&gt;"",H142&lt;&gt;"",J142&lt;&gt;"",K142&lt;&gt;"",L142&lt;&gt;"",M142&lt;&gt;"",O142&lt;&gt;"",P142&lt;&gt;"",R142&lt;&gt;""),"COMPLETE","MISSING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8">
        <f>IF(A143="","",IF(COUNTIF($B$5:$B$304,B143)&gt;1,"DUPLICATE","UNIQUE"))</f>
        <v/>
      </c>
      <c r="V143" s="28">
        <f>IF(A143="","",IF(AND(B143&lt;&gt;"",C143&lt;&gt;"",D143&lt;&gt;"",E143&lt;&gt;"",F143&lt;&gt;"",G143&lt;&gt;"",H143&lt;&gt;"",J143&lt;&gt;"",K143&lt;&gt;"",L143&lt;&gt;"",M143&lt;&gt;"",O143&lt;&gt;"",P143&lt;&gt;"",R143&lt;&gt;""),"COMPLETE","MISSING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8">
        <f>IF(A144="","",IF(COUNTIF($B$5:$B$304,B144)&gt;1,"DUPLICATE","UNIQUE"))</f>
        <v/>
      </c>
      <c r="V144" s="28">
        <f>IF(A144="","",IF(AND(B144&lt;&gt;"",C144&lt;&gt;"",D144&lt;&gt;"",E144&lt;&gt;"",F144&lt;&gt;"",G144&lt;&gt;"",H144&lt;&gt;"",J144&lt;&gt;"",K144&lt;&gt;"",L144&lt;&gt;"",M144&lt;&gt;"",O144&lt;&gt;"",P144&lt;&gt;"",R144&lt;&gt;""),"COMPLETE","MISSING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8">
        <f>IF(A145="","",IF(COUNTIF($B$5:$B$304,B145)&gt;1,"DUPLICATE","UNIQUE"))</f>
        <v/>
      </c>
      <c r="V145" s="28">
        <f>IF(A145="","",IF(AND(B145&lt;&gt;"",C145&lt;&gt;"",D145&lt;&gt;"",E145&lt;&gt;"",F145&lt;&gt;"",G145&lt;&gt;"",H145&lt;&gt;"",J145&lt;&gt;"",K145&lt;&gt;"",L145&lt;&gt;"",M145&lt;&gt;"",O145&lt;&gt;"",P145&lt;&gt;"",R145&lt;&gt;""),"COMPLETE","MISSING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8">
        <f>IF(A146="","",IF(COUNTIF($B$5:$B$304,B146)&gt;1,"DUPLICATE","UNIQUE"))</f>
        <v/>
      </c>
      <c r="V146" s="28">
        <f>IF(A146="","",IF(AND(B146&lt;&gt;"",C146&lt;&gt;"",D146&lt;&gt;"",E146&lt;&gt;"",F146&lt;&gt;"",G146&lt;&gt;"",H146&lt;&gt;"",J146&lt;&gt;"",K146&lt;&gt;"",L146&lt;&gt;"",M146&lt;&gt;"",O146&lt;&gt;"",P146&lt;&gt;"",R146&lt;&gt;""),"COMPLETE","MISSING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8">
        <f>IF(A147="","",IF(COUNTIF($B$5:$B$304,B147)&gt;1,"DUPLICATE","UNIQUE"))</f>
        <v/>
      </c>
      <c r="V147" s="28">
        <f>IF(A147="","",IF(AND(B147&lt;&gt;"",C147&lt;&gt;"",D147&lt;&gt;"",E147&lt;&gt;"",F147&lt;&gt;"",G147&lt;&gt;"",H147&lt;&gt;"",J147&lt;&gt;"",K147&lt;&gt;"",L147&lt;&gt;"",M147&lt;&gt;"",O147&lt;&gt;"",P147&lt;&gt;"",R147&lt;&gt;""),"COMPLETE","MISSING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8">
        <f>IF(A148="","",IF(COUNTIF($B$5:$B$304,B148)&gt;1,"DUPLICATE","UNIQUE"))</f>
        <v/>
      </c>
      <c r="V148" s="28">
        <f>IF(A148="","",IF(AND(B148&lt;&gt;"",C148&lt;&gt;"",D148&lt;&gt;"",E148&lt;&gt;"",F148&lt;&gt;"",G148&lt;&gt;"",H148&lt;&gt;"",J148&lt;&gt;"",K148&lt;&gt;"",L148&lt;&gt;"",M148&lt;&gt;"",O148&lt;&gt;"",P148&lt;&gt;"",R148&lt;&gt;""),"COMPLETE","MISSING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8">
        <f>IF(A149="","",IF(COUNTIF($B$5:$B$304,B149)&gt;1,"DUPLICATE","UNIQUE"))</f>
        <v/>
      </c>
      <c r="V149" s="28">
        <f>IF(A149="","",IF(AND(B149&lt;&gt;"",C149&lt;&gt;"",D149&lt;&gt;"",E149&lt;&gt;"",F149&lt;&gt;"",G149&lt;&gt;"",H149&lt;&gt;"",J149&lt;&gt;"",K149&lt;&gt;"",L149&lt;&gt;"",M149&lt;&gt;"",O149&lt;&gt;"",P149&lt;&gt;"",R149&lt;&gt;""),"COMPLETE","MISSING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8">
        <f>IF(A150="","",IF(COUNTIF($B$5:$B$304,B150)&gt;1,"DUPLICATE","UNIQUE"))</f>
        <v/>
      </c>
      <c r="V150" s="28">
        <f>IF(A150="","",IF(AND(B150&lt;&gt;"",C150&lt;&gt;"",D150&lt;&gt;"",E150&lt;&gt;"",F150&lt;&gt;"",G150&lt;&gt;"",H150&lt;&gt;"",J150&lt;&gt;"",K150&lt;&gt;"",L150&lt;&gt;"",M150&lt;&gt;"",O150&lt;&gt;"",P150&lt;&gt;"",R150&lt;&gt;""),"COMPLETE","MISSING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8">
        <f>IF(A151="","",IF(COUNTIF($B$5:$B$304,B151)&gt;1,"DUPLICATE","UNIQUE"))</f>
        <v/>
      </c>
      <c r="V151" s="28">
        <f>IF(A151="","",IF(AND(B151&lt;&gt;"",C151&lt;&gt;"",D151&lt;&gt;"",E151&lt;&gt;"",F151&lt;&gt;"",G151&lt;&gt;"",H151&lt;&gt;"",J151&lt;&gt;"",K151&lt;&gt;"",L151&lt;&gt;"",M151&lt;&gt;"",O151&lt;&gt;"",P151&lt;&gt;"",R151&lt;&gt;""),"COMPLETE","MISSING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8">
        <f>IF(A152="","",IF(COUNTIF($B$5:$B$304,B152)&gt;1,"DUPLICATE","UNIQUE"))</f>
        <v/>
      </c>
      <c r="V152" s="28">
        <f>IF(A152="","",IF(AND(B152&lt;&gt;"",C152&lt;&gt;"",D152&lt;&gt;"",E152&lt;&gt;"",F152&lt;&gt;"",G152&lt;&gt;"",H152&lt;&gt;"",J152&lt;&gt;"",K152&lt;&gt;"",L152&lt;&gt;"",M152&lt;&gt;"",O152&lt;&gt;"",P152&lt;&gt;"",R152&lt;&gt;""),"COMPLETE","MISSING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8">
        <f>IF(A153="","",IF(COUNTIF($B$5:$B$304,B153)&gt;1,"DUPLICATE","UNIQUE"))</f>
        <v/>
      </c>
      <c r="V153" s="28">
        <f>IF(A153="","",IF(AND(B153&lt;&gt;"",C153&lt;&gt;"",D153&lt;&gt;"",E153&lt;&gt;"",F153&lt;&gt;"",G153&lt;&gt;"",H153&lt;&gt;"",J153&lt;&gt;"",K153&lt;&gt;"",L153&lt;&gt;"",M153&lt;&gt;"",O153&lt;&gt;"",P153&lt;&gt;"",R153&lt;&gt;""),"COMPLETE","MISSING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8">
        <f>IF(A154="","",IF(COUNTIF($B$5:$B$304,B154)&gt;1,"DUPLICATE","UNIQUE"))</f>
        <v/>
      </c>
      <c r="V154" s="28">
        <f>IF(A154="","",IF(AND(B154&lt;&gt;"",C154&lt;&gt;"",D154&lt;&gt;"",E154&lt;&gt;"",F154&lt;&gt;"",G154&lt;&gt;"",H154&lt;&gt;"",J154&lt;&gt;"",K154&lt;&gt;"",L154&lt;&gt;"",M154&lt;&gt;"",O154&lt;&gt;"",P154&lt;&gt;"",R154&lt;&gt;""),"COMPLETE","MISSING FIELDS"))</f>
        <v/>
      </c>
    </row>
    <row r="155" ht="15" customHeight="1" s="1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8">
        <f>IF(A155="","",IF(COUNTIF($B$5:$B$304,B155)&gt;1,"DUPLICATE","UNIQUE"))</f>
        <v/>
      </c>
      <c r="V155" s="28">
        <f>IF(A155="","",IF(AND(B155&lt;&gt;"",C155&lt;&gt;"",D155&lt;&gt;"",E155&lt;&gt;"",F155&lt;&gt;"",G155&lt;&gt;"",H155&lt;&gt;"",J155&lt;&gt;"",K155&lt;&gt;"",L155&lt;&gt;"",M155&lt;&gt;"",O155&lt;&gt;"",P155&lt;&gt;"",R155&lt;&gt;""),"COMPLETE","MISSING FIELDS"))</f>
        <v/>
      </c>
    </row>
    <row r="156" ht="15" customHeight="1" s="15">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8">
        <f>IF(A156="","",IF(COUNTIF($B$5:$B$304,B156)&gt;1,"DUPLICATE","UNIQUE"))</f>
        <v/>
      </c>
      <c r="V156" s="28">
        <f>IF(A156="","",IF(AND(B156&lt;&gt;"",C156&lt;&gt;"",D156&lt;&gt;"",E156&lt;&gt;"",F156&lt;&gt;"",G156&lt;&gt;"",H156&lt;&gt;"",J156&lt;&gt;"",K156&lt;&gt;"",L156&lt;&gt;"",M156&lt;&gt;"",O156&lt;&gt;"",P156&lt;&gt;"",R156&lt;&gt;""),"COMPLETE","MISSING FIELDS"))</f>
        <v/>
      </c>
    </row>
    <row r="157" ht="15" customHeight="1" s="15">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8">
        <f>IF(A157="","",IF(COUNTIF($B$5:$B$304,B157)&gt;1,"DUPLICATE","UNIQUE"))</f>
        <v/>
      </c>
      <c r="V157" s="28">
        <f>IF(A157="","",IF(AND(B157&lt;&gt;"",C157&lt;&gt;"",D157&lt;&gt;"",E157&lt;&gt;"",F157&lt;&gt;"",G157&lt;&gt;"",H157&lt;&gt;"",J157&lt;&gt;"",K157&lt;&gt;"",L157&lt;&gt;"",M157&lt;&gt;"",O157&lt;&gt;"",P157&lt;&gt;"",R157&lt;&gt;""),"COMPLETE","MISSING FIELDS"))</f>
        <v/>
      </c>
    </row>
    <row r="158" ht="15" customHeight="1" s="15">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8">
        <f>IF(A158="","",IF(COUNTIF($B$5:$B$304,B158)&gt;1,"DUPLICATE","UNIQUE"))</f>
        <v/>
      </c>
      <c r="V158" s="28">
        <f>IF(A158="","",IF(AND(B158&lt;&gt;"",C158&lt;&gt;"",D158&lt;&gt;"",E158&lt;&gt;"",F158&lt;&gt;"",G158&lt;&gt;"",H158&lt;&gt;"",J158&lt;&gt;"",K158&lt;&gt;"",L158&lt;&gt;"",M158&lt;&gt;"",O158&lt;&gt;"",P158&lt;&gt;"",R158&lt;&gt;""),"COMPLETE","MISSING FIELDS"))</f>
        <v/>
      </c>
    </row>
    <row r="159" ht="15" customHeight="1" s="15">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8">
        <f>IF(A159="","",IF(COUNTIF($B$5:$B$304,B159)&gt;1,"DUPLICATE","UNIQUE"))</f>
        <v/>
      </c>
      <c r="V159" s="28">
        <f>IF(A159="","",IF(AND(B159&lt;&gt;"",C159&lt;&gt;"",D159&lt;&gt;"",E159&lt;&gt;"",F159&lt;&gt;"",G159&lt;&gt;"",H159&lt;&gt;"",J159&lt;&gt;"",K159&lt;&gt;"",L159&lt;&gt;"",M159&lt;&gt;"",O159&lt;&gt;"",P159&lt;&gt;"",R159&lt;&gt;""),"COMPLETE","MISSING FIELDS"))</f>
        <v/>
      </c>
    </row>
    <row r="160" ht="15" customHeight="1" s="15">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8">
        <f>IF(A160="","",IF(COUNTIF($B$5:$B$304,B160)&gt;1,"DUPLICATE","UNIQUE"))</f>
        <v/>
      </c>
      <c r="V160" s="28">
        <f>IF(A160="","",IF(AND(B160&lt;&gt;"",C160&lt;&gt;"",D160&lt;&gt;"",E160&lt;&gt;"",F160&lt;&gt;"",G160&lt;&gt;"",H160&lt;&gt;"",J160&lt;&gt;"",K160&lt;&gt;"",L160&lt;&gt;"",M160&lt;&gt;"",O160&lt;&gt;"",P160&lt;&gt;"",R160&lt;&gt;""),"COMPLETE","MISSING FIELDS"))</f>
        <v/>
      </c>
    </row>
    <row r="161" ht="15" customHeight="1" s="15">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8">
        <f>IF(A161="","",IF(COUNTIF($B$5:$B$304,B161)&gt;1,"DUPLICATE","UNIQUE"))</f>
        <v/>
      </c>
      <c r="V161" s="28">
        <f>IF(A161="","",IF(AND(B161&lt;&gt;"",C161&lt;&gt;"",D161&lt;&gt;"",E161&lt;&gt;"",F161&lt;&gt;"",G161&lt;&gt;"",H161&lt;&gt;"",J161&lt;&gt;"",K161&lt;&gt;"",L161&lt;&gt;"",M161&lt;&gt;"",O161&lt;&gt;"",P161&lt;&gt;"",R161&lt;&gt;""),"COMPLETE","MISSING FIELDS"))</f>
        <v/>
      </c>
    </row>
    <row r="162" ht="15" customHeight="1" s="15">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8">
        <f>IF(A162="","",IF(COUNTIF($B$5:$B$304,B162)&gt;1,"DUPLICATE","UNIQUE"))</f>
        <v/>
      </c>
      <c r="V162" s="28">
        <f>IF(A162="","",IF(AND(B162&lt;&gt;"",C162&lt;&gt;"",D162&lt;&gt;"",E162&lt;&gt;"",F162&lt;&gt;"",G162&lt;&gt;"",H162&lt;&gt;"",J162&lt;&gt;"",K162&lt;&gt;"",L162&lt;&gt;"",M162&lt;&gt;"",O162&lt;&gt;"",P162&lt;&gt;"",R162&lt;&gt;""),"COMPLETE","MISSING FIELDS"))</f>
        <v/>
      </c>
    </row>
    <row r="163" ht="15" customHeight="1" s="15">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8">
        <f>IF(A163="","",IF(COUNTIF($B$5:$B$304,B163)&gt;1,"DUPLICATE","UNIQUE"))</f>
        <v/>
      </c>
      <c r="V163" s="28">
        <f>IF(A163="","",IF(AND(B163&lt;&gt;"",C163&lt;&gt;"",D163&lt;&gt;"",E163&lt;&gt;"",F163&lt;&gt;"",G163&lt;&gt;"",H163&lt;&gt;"",J163&lt;&gt;"",K163&lt;&gt;"",L163&lt;&gt;"",M163&lt;&gt;"",O163&lt;&gt;"",P163&lt;&gt;"",R163&lt;&gt;""),"COMPLETE","MISSING FIELDS"))</f>
        <v/>
      </c>
    </row>
    <row r="164" ht="15" customHeight="1" s="15">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8">
        <f>IF(A164="","",IF(COUNTIF($B$5:$B$304,B164)&gt;1,"DUPLICATE","UNIQUE"))</f>
        <v/>
      </c>
      <c r="V164" s="28">
        <f>IF(A164="","",IF(AND(B164&lt;&gt;"",C164&lt;&gt;"",D164&lt;&gt;"",E164&lt;&gt;"",F164&lt;&gt;"",G164&lt;&gt;"",H164&lt;&gt;"",J164&lt;&gt;"",K164&lt;&gt;"",L164&lt;&gt;"",M164&lt;&gt;"",O164&lt;&gt;"",P164&lt;&gt;"",R164&lt;&gt;""),"COMPLETE","MISSING FIELDS"))</f>
        <v/>
      </c>
    </row>
    <row r="165" ht="15" customHeight="1" s="1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8">
        <f>IF(A165="","",IF(COUNTIF($B$5:$B$304,B165)&gt;1,"DUPLICATE","UNIQUE"))</f>
        <v/>
      </c>
      <c r="V165" s="28">
        <f>IF(A165="","",IF(AND(B165&lt;&gt;"",C165&lt;&gt;"",D165&lt;&gt;"",E165&lt;&gt;"",F165&lt;&gt;"",G165&lt;&gt;"",H165&lt;&gt;"",J165&lt;&gt;"",K165&lt;&gt;"",L165&lt;&gt;"",M165&lt;&gt;"",O165&lt;&gt;"",P165&lt;&gt;"",R165&lt;&gt;""),"COMPLETE","MISSING FIELDS"))</f>
        <v/>
      </c>
    </row>
    <row r="166" ht="15" customHeight="1" s="15">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8">
        <f>IF(A166="","",IF(COUNTIF($B$5:$B$304,B166)&gt;1,"DUPLICATE","UNIQUE"))</f>
        <v/>
      </c>
      <c r="V166" s="28">
        <f>IF(A166="","",IF(AND(B166&lt;&gt;"",C166&lt;&gt;"",D166&lt;&gt;"",E166&lt;&gt;"",F166&lt;&gt;"",G166&lt;&gt;"",H166&lt;&gt;"",J166&lt;&gt;"",K166&lt;&gt;"",L166&lt;&gt;"",M166&lt;&gt;"",O166&lt;&gt;"",P166&lt;&gt;"",R166&lt;&gt;""),"COMPLETE","MISSING FIELDS"))</f>
        <v/>
      </c>
    </row>
    <row r="167" ht="15" customHeight="1" s="15">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8">
        <f>IF(A167="","",IF(COUNTIF($B$5:$B$304,B167)&gt;1,"DUPLICATE","UNIQUE"))</f>
        <v/>
      </c>
      <c r="V167" s="28">
        <f>IF(A167="","",IF(AND(B167&lt;&gt;"",C167&lt;&gt;"",D167&lt;&gt;"",E167&lt;&gt;"",F167&lt;&gt;"",G167&lt;&gt;"",H167&lt;&gt;"",J167&lt;&gt;"",K167&lt;&gt;"",L167&lt;&gt;"",M167&lt;&gt;"",O167&lt;&gt;"",P167&lt;&gt;"",R167&lt;&gt;""),"COMPLETE","MISSING FIELDS"))</f>
        <v/>
      </c>
    </row>
    <row r="168" ht="15" customHeight="1" s="15">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8">
        <f>IF(A168="","",IF(COUNTIF($B$5:$B$304,B168)&gt;1,"DUPLICATE","UNIQUE"))</f>
        <v/>
      </c>
      <c r="V168" s="28">
        <f>IF(A168="","",IF(AND(B168&lt;&gt;"",C168&lt;&gt;"",D168&lt;&gt;"",E168&lt;&gt;"",F168&lt;&gt;"",G168&lt;&gt;"",H168&lt;&gt;"",J168&lt;&gt;"",K168&lt;&gt;"",L168&lt;&gt;"",M168&lt;&gt;"",O168&lt;&gt;"",P168&lt;&gt;"",R168&lt;&gt;""),"COMPLETE","MISSING FIELDS"))</f>
        <v/>
      </c>
    </row>
    <row r="169" ht="15" customHeight="1" s="15">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8">
        <f>IF(A169="","",IF(COUNTIF($B$5:$B$304,B169)&gt;1,"DUPLICATE","UNIQUE"))</f>
        <v/>
      </c>
      <c r="V169" s="28">
        <f>IF(A169="","",IF(AND(B169&lt;&gt;"",C169&lt;&gt;"",D169&lt;&gt;"",E169&lt;&gt;"",F169&lt;&gt;"",G169&lt;&gt;"",H169&lt;&gt;"",J169&lt;&gt;"",K169&lt;&gt;"",L169&lt;&gt;"",M169&lt;&gt;"",O169&lt;&gt;"",P169&lt;&gt;"",R169&lt;&gt;""),"COMPLETE","MISSING FIELDS"))</f>
        <v/>
      </c>
    </row>
    <row r="170" ht="15" customHeight="1" s="15">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8">
        <f>IF(A170="","",IF(COUNTIF($B$5:$B$304,B170)&gt;1,"DUPLICATE","UNIQUE"))</f>
        <v/>
      </c>
      <c r="V170" s="28">
        <f>IF(A170="","",IF(AND(B170&lt;&gt;"",C170&lt;&gt;"",D170&lt;&gt;"",E170&lt;&gt;"",F170&lt;&gt;"",G170&lt;&gt;"",H170&lt;&gt;"",J170&lt;&gt;"",K170&lt;&gt;"",L170&lt;&gt;"",M170&lt;&gt;"",O170&lt;&gt;"",P170&lt;&gt;"",R170&lt;&gt;""),"COMPLETE","MISSING FIELDS"))</f>
        <v/>
      </c>
    </row>
    <row r="171" ht="15" customHeight="1" s="15">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8">
        <f>IF(A171="","",IF(COUNTIF($B$5:$B$304,B171)&gt;1,"DUPLICATE","UNIQUE"))</f>
        <v/>
      </c>
      <c r="V171" s="28">
        <f>IF(A171="","",IF(AND(B171&lt;&gt;"",C171&lt;&gt;"",D171&lt;&gt;"",E171&lt;&gt;"",F171&lt;&gt;"",G171&lt;&gt;"",H171&lt;&gt;"",J171&lt;&gt;"",K171&lt;&gt;"",L171&lt;&gt;"",M171&lt;&gt;"",O171&lt;&gt;"",P171&lt;&gt;"",R171&lt;&gt;""),"COMPLETE","MISSING FIELDS"))</f>
        <v/>
      </c>
    </row>
    <row r="172" ht="15" customHeight="1" s="15">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8">
        <f>IF(A172="","",IF(COUNTIF($B$5:$B$304,B172)&gt;1,"DUPLICATE","UNIQUE"))</f>
        <v/>
      </c>
      <c r="V172" s="28">
        <f>IF(A172="","",IF(AND(B172&lt;&gt;"",C172&lt;&gt;"",D172&lt;&gt;"",E172&lt;&gt;"",F172&lt;&gt;"",G172&lt;&gt;"",H172&lt;&gt;"",J172&lt;&gt;"",K172&lt;&gt;"",L172&lt;&gt;"",M172&lt;&gt;"",O172&lt;&gt;"",P172&lt;&gt;"",R172&lt;&gt;""),"COMPLETE","MISSING FIELDS"))</f>
        <v/>
      </c>
    </row>
    <row r="173" ht="15" customHeight="1" s="15">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8">
        <f>IF(A173="","",IF(COUNTIF($B$5:$B$304,B173)&gt;1,"DUPLICATE","UNIQUE"))</f>
        <v/>
      </c>
      <c r="V173" s="28">
        <f>IF(A173="","",IF(AND(B173&lt;&gt;"",C173&lt;&gt;"",D173&lt;&gt;"",E173&lt;&gt;"",F173&lt;&gt;"",G173&lt;&gt;"",H173&lt;&gt;"",J173&lt;&gt;"",K173&lt;&gt;"",L173&lt;&gt;"",M173&lt;&gt;"",O173&lt;&gt;"",P173&lt;&gt;"",R173&lt;&gt;""),"COMPLETE","MISSING FIELDS"))</f>
        <v/>
      </c>
    </row>
    <row r="174" ht="15" customHeight="1" s="15">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8">
        <f>IF(A174="","",IF(COUNTIF($B$5:$B$304,B174)&gt;1,"DUPLICATE","UNIQUE"))</f>
        <v/>
      </c>
      <c r="V174" s="28">
        <f>IF(A174="","",IF(AND(B174&lt;&gt;"",C174&lt;&gt;"",D174&lt;&gt;"",E174&lt;&gt;"",F174&lt;&gt;"",G174&lt;&gt;"",H174&lt;&gt;"",J174&lt;&gt;"",K174&lt;&gt;"",L174&lt;&gt;"",M174&lt;&gt;"",O174&lt;&gt;"",P174&lt;&gt;"",R174&lt;&gt;""),"COMPLETE","MISSING FIELDS"))</f>
        <v/>
      </c>
    </row>
    <row r="175" ht="15" customHeight="1" s="1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8">
        <f>IF(A175="","",IF(COUNTIF($B$5:$B$304,B175)&gt;1,"DUPLICATE","UNIQUE"))</f>
        <v/>
      </c>
      <c r="V175" s="28">
        <f>IF(A175="","",IF(AND(B175&lt;&gt;"",C175&lt;&gt;"",D175&lt;&gt;"",E175&lt;&gt;"",F175&lt;&gt;"",G175&lt;&gt;"",H175&lt;&gt;"",J175&lt;&gt;"",K175&lt;&gt;"",L175&lt;&gt;"",M175&lt;&gt;"",O175&lt;&gt;"",P175&lt;&gt;"",R175&lt;&gt;""),"COMPLETE","MISSING FIELDS"))</f>
        <v/>
      </c>
    </row>
    <row r="176" ht="15" customHeight="1" s="15">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8">
        <f>IF(A176="","",IF(COUNTIF($B$5:$B$304,B176)&gt;1,"DUPLICATE","UNIQUE"))</f>
        <v/>
      </c>
      <c r="V176" s="28">
        <f>IF(A176="","",IF(AND(B176&lt;&gt;"",C176&lt;&gt;"",D176&lt;&gt;"",E176&lt;&gt;"",F176&lt;&gt;"",G176&lt;&gt;"",H176&lt;&gt;"",J176&lt;&gt;"",K176&lt;&gt;"",L176&lt;&gt;"",M176&lt;&gt;"",O176&lt;&gt;"",P176&lt;&gt;"",R176&lt;&gt;""),"COMPLETE","MISSING FIELDS"))</f>
        <v/>
      </c>
    </row>
    <row r="177" ht="15" customHeight="1" s="15">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8">
        <f>IF(A177="","",IF(COUNTIF($B$5:$B$304,B177)&gt;1,"DUPLICATE","UNIQUE"))</f>
        <v/>
      </c>
      <c r="V177" s="28">
        <f>IF(A177="","",IF(AND(B177&lt;&gt;"",C177&lt;&gt;"",D177&lt;&gt;"",E177&lt;&gt;"",F177&lt;&gt;"",G177&lt;&gt;"",H177&lt;&gt;"",J177&lt;&gt;"",K177&lt;&gt;"",L177&lt;&gt;"",M177&lt;&gt;"",O177&lt;&gt;"",P177&lt;&gt;"",R177&lt;&gt;""),"COMPLETE","MISSING FIELDS"))</f>
        <v/>
      </c>
    </row>
    <row r="178" ht="15" customHeight="1" s="15">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8">
        <f>IF(A178="","",IF(COUNTIF($B$5:$B$304,B178)&gt;1,"DUPLICATE","UNIQUE"))</f>
        <v/>
      </c>
      <c r="V178" s="28">
        <f>IF(A178="","",IF(AND(B178&lt;&gt;"",C178&lt;&gt;"",D178&lt;&gt;"",E178&lt;&gt;"",F178&lt;&gt;"",G178&lt;&gt;"",H178&lt;&gt;"",J178&lt;&gt;"",K178&lt;&gt;"",L178&lt;&gt;"",M178&lt;&gt;"",O178&lt;&gt;"",P178&lt;&gt;"",R178&lt;&gt;""),"COMPLETE","MISSING FIELDS"))</f>
        <v/>
      </c>
    </row>
    <row r="179" ht="15" customHeight="1" s="15">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8">
        <f>IF(A179="","",IF(COUNTIF($B$5:$B$304,B179)&gt;1,"DUPLICATE","UNIQUE"))</f>
        <v/>
      </c>
      <c r="V179" s="28">
        <f>IF(A179="","",IF(AND(B179&lt;&gt;"",C179&lt;&gt;"",D179&lt;&gt;"",E179&lt;&gt;"",F179&lt;&gt;"",G179&lt;&gt;"",H179&lt;&gt;"",J179&lt;&gt;"",K179&lt;&gt;"",L179&lt;&gt;"",M179&lt;&gt;"",O179&lt;&gt;"",P179&lt;&gt;"",R179&lt;&gt;""),"COMPLETE","MISSING FIELDS"))</f>
        <v/>
      </c>
    </row>
    <row r="180" ht="15" customHeight="1" s="15">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8">
        <f>IF(A180="","",IF(COUNTIF($B$5:$B$304,B180)&gt;1,"DUPLICATE","UNIQUE"))</f>
        <v/>
      </c>
      <c r="V180" s="28">
        <f>IF(A180="","",IF(AND(B180&lt;&gt;"",C180&lt;&gt;"",D180&lt;&gt;"",E180&lt;&gt;"",F180&lt;&gt;"",G180&lt;&gt;"",H180&lt;&gt;"",J180&lt;&gt;"",K180&lt;&gt;"",L180&lt;&gt;"",M180&lt;&gt;"",O180&lt;&gt;"",P180&lt;&gt;"",R180&lt;&gt;""),"COMPLETE","MISSING FIELDS"))</f>
        <v/>
      </c>
    </row>
    <row r="181" ht="15" customHeight="1" s="15">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8">
        <f>IF(A181="","",IF(COUNTIF($B$5:$B$304,B181)&gt;1,"DUPLICATE","UNIQUE"))</f>
        <v/>
      </c>
      <c r="V181" s="28">
        <f>IF(A181="","",IF(AND(B181&lt;&gt;"",C181&lt;&gt;"",D181&lt;&gt;"",E181&lt;&gt;"",F181&lt;&gt;"",G181&lt;&gt;"",H181&lt;&gt;"",J181&lt;&gt;"",K181&lt;&gt;"",L181&lt;&gt;"",M181&lt;&gt;"",O181&lt;&gt;"",P181&lt;&gt;"",R181&lt;&gt;""),"COMPLETE","MISSING FIELDS"))</f>
        <v/>
      </c>
    </row>
    <row r="182" ht="15" customHeight="1" s="15">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8">
        <f>IF(A182="","",IF(COUNTIF($B$5:$B$304,B182)&gt;1,"DUPLICATE","UNIQUE"))</f>
        <v/>
      </c>
      <c r="V182" s="28">
        <f>IF(A182="","",IF(AND(B182&lt;&gt;"",C182&lt;&gt;"",D182&lt;&gt;"",E182&lt;&gt;"",F182&lt;&gt;"",G182&lt;&gt;"",H182&lt;&gt;"",J182&lt;&gt;"",K182&lt;&gt;"",L182&lt;&gt;"",M182&lt;&gt;"",O182&lt;&gt;"",P182&lt;&gt;"",R182&lt;&gt;""),"COMPLETE","MISSING FIELDS"))</f>
        <v/>
      </c>
    </row>
    <row r="183" ht="15" customHeight="1" s="15">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8">
        <f>IF(A183="","",IF(COUNTIF($B$5:$B$304,B183)&gt;1,"DUPLICATE","UNIQUE"))</f>
        <v/>
      </c>
      <c r="V183" s="28">
        <f>IF(A183="","",IF(AND(B183&lt;&gt;"",C183&lt;&gt;"",D183&lt;&gt;"",E183&lt;&gt;"",F183&lt;&gt;"",G183&lt;&gt;"",H183&lt;&gt;"",J183&lt;&gt;"",K183&lt;&gt;"",L183&lt;&gt;"",M183&lt;&gt;"",O183&lt;&gt;"",P183&lt;&gt;"",R183&lt;&gt;""),"COMPLETE","MISSING FIELDS"))</f>
        <v/>
      </c>
    </row>
    <row r="184" ht="15" customHeight="1" s="15">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8">
        <f>IF(A184="","",IF(COUNTIF($B$5:$B$304,B184)&gt;1,"DUPLICATE","UNIQUE"))</f>
        <v/>
      </c>
      <c r="V184" s="28">
        <f>IF(A184="","",IF(AND(B184&lt;&gt;"",C184&lt;&gt;"",D184&lt;&gt;"",E184&lt;&gt;"",F184&lt;&gt;"",G184&lt;&gt;"",H184&lt;&gt;"",J184&lt;&gt;"",K184&lt;&gt;"",L184&lt;&gt;"",M184&lt;&gt;"",O184&lt;&gt;"",P184&lt;&gt;"",R184&lt;&gt;""),"COMPLETE","MISSING FIELDS"))</f>
        <v/>
      </c>
    </row>
    <row r="185" ht="15" customHeight="1" s="1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8">
        <f>IF(A185="","",IF(COUNTIF($B$5:$B$304,B185)&gt;1,"DUPLICATE","UNIQUE"))</f>
        <v/>
      </c>
      <c r="V185" s="28">
        <f>IF(A185="","",IF(AND(B185&lt;&gt;"",C185&lt;&gt;"",D185&lt;&gt;"",E185&lt;&gt;"",F185&lt;&gt;"",G185&lt;&gt;"",H185&lt;&gt;"",J185&lt;&gt;"",K185&lt;&gt;"",L185&lt;&gt;"",M185&lt;&gt;"",O185&lt;&gt;"",P185&lt;&gt;"",R185&lt;&gt;""),"COMPLETE","MISSING FIELDS"))</f>
        <v/>
      </c>
    </row>
    <row r="186" ht="15" customHeight="1" s="15">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8">
        <f>IF(A186="","",IF(COUNTIF($B$5:$B$304,B186)&gt;1,"DUPLICATE","UNIQUE"))</f>
        <v/>
      </c>
      <c r="V186" s="28">
        <f>IF(A186="","",IF(AND(B186&lt;&gt;"",C186&lt;&gt;"",D186&lt;&gt;"",E186&lt;&gt;"",F186&lt;&gt;"",G186&lt;&gt;"",H186&lt;&gt;"",J186&lt;&gt;"",K186&lt;&gt;"",L186&lt;&gt;"",M186&lt;&gt;"",O186&lt;&gt;"",P186&lt;&gt;"",R186&lt;&gt;""),"COMPLETE","MISSING FIELDS"))</f>
        <v/>
      </c>
    </row>
    <row r="187" ht="15" customHeight="1" s="15">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8">
        <f>IF(A187="","",IF(COUNTIF($B$5:$B$304,B187)&gt;1,"DUPLICATE","UNIQUE"))</f>
        <v/>
      </c>
      <c r="V187" s="28">
        <f>IF(A187="","",IF(AND(B187&lt;&gt;"",C187&lt;&gt;"",D187&lt;&gt;"",E187&lt;&gt;"",F187&lt;&gt;"",G187&lt;&gt;"",H187&lt;&gt;"",J187&lt;&gt;"",K187&lt;&gt;"",L187&lt;&gt;"",M187&lt;&gt;"",O187&lt;&gt;"",P187&lt;&gt;"",R187&lt;&gt;""),"COMPLETE","MISSING FIELDS"))</f>
        <v/>
      </c>
    </row>
    <row r="188" ht="15" customHeight="1" s="15">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8">
        <f>IF(A188="","",IF(COUNTIF($B$5:$B$304,B188)&gt;1,"DUPLICATE","UNIQUE"))</f>
        <v/>
      </c>
      <c r="V188" s="28">
        <f>IF(A188="","",IF(AND(B188&lt;&gt;"",C188&lt;&gt;"",D188&lt;&gt;"",E188&lt;&gt;"",F188&lt;&gt;"",G188&lt;&gt;"",H188&lt;&gt;"",J188&lt;&gt;"",K188&lt;&gt;"",L188&lt;&gt;"",M188&lt;&gt;"",O188&lt;&gt;"",P188&lt;&gt;"",R188&lt;&gt;""),"COMPLETE","MISSING FIELDS"))</f>
        <v/>
      </c>
    </row>
    <row r="189" ht="15" customHeight="1" s="15">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8">
        <f>IF(A189="","",IF(COUNTIF($B$5:$B$304,B189)&gt;1,"DUPLICATE","UNIQUE"))</f>
        <v/>
      </c>
      <c r="V189" s="28">
        <f>IF(A189="","",IF(AND(B189&lt;&gt;"",C189&lt;&gt;"",D189&lt;&gt;"",E189&lt;&gt;"",F189&lt;&gt;"",G189&lt;&gt;"",H189&lt;&gt;"",J189&lt;&gt;"",K189&lt;&gt;"",L189&lt;&gt;"",M189&lt;&gt;"",O189&lt;&gt;"",P189&lt;&gt;"",R189&lt;&gt;""),"COMPLETE","MISSING FIELDS"))</f>
        <v/>
      </c>
    </row>
    <row r="190" ht="15" customHeight="1" s="15">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8">
        <f>IF(A190="","",IF(COUNTIF($B$5:$B$304,B190)&gt;1,"DUPLICATE","UNIQUE"))</f>
        <v/>
      </c>
      <c r="V190" s="28">
        <f>IF(A190="","",IF(AND(B190&lt;&gt;"",C190&lt;&gt;"",D190&lt;&gt;"",E190&lt;&gt;"",F190&lt;&gt;"",G190&lt;&gt;"",H190&lt;&gt;"",J190&lt;&gt;"",K190&lt;&gt;"",L190&lt;&gt;"",M190&lt;&gt;"",O190&lt;&gt;"",P190&lt;&gt;"",R190&lt;&gt;""),"COMPLETE","MISSING FIELDS"))</f>
        <v/>
      </c>
    </row>
    <row r="191" ht="15" customHeight="1" s="15">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8">
        <f>IF(A191="","",IF(COUNTIF($B$5:$B$304,B191)&gt;1,"DUPLICATE","UNIQUE"))</f>
        <v/>
      </c>
      <c r="V191" s="28">
        <f>IF(A191="","",IF(AND(B191&lt;&gt;"",C191&lt;&gt;"",D191&lt;&gt;"",E191&lt;&gt;"",F191&lt;&gt;"",G191&lt;&gt;"",H191&lt;&gt;"",J191&lt;&gt;"",K191&lt;&gt;"",L191&lt;&gt;"",M191&lt;&gt;"",O191&lt;&gt;"",P191&lt;&gt;"",R191&lt;&gt;""),"COMPLETE","MISSING FIELDS"))</f>
        <v/>
      </c>
    </row>
    <row r="192" ht="15" customHeight="1" s="15">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8">
        <f>IF(A192="","",IF(COUNTIF($B$5:$B$304,B192)&gt;1,"DUPLICATE","UNIQUE"))</f>
        <v/>
      </c>
      <c r="V192" s="28">
        <f>IF(A192="","",IF(AND(B192&lt;&gt;"",C192&lt;&gt;"",D192&lt;&gt;"",E192&lt;&gt;"",F192&lt;&gt;"",G192&lt;&gt;"",H192&lt;&gt;"",J192&lt;&gt;"",K192&lt;&gt;"",L192&lt;&gt;"",M192&lt;&gt;"",O192&lt;&gt;"",P192&lt;&gt;"",R192&lt;&gt;""),"COMPLETE","MISSING FIELDS"))</f>
        <v/>
      </c>
    </row>
    <row r="193" ht="15" customHeight="1" s="15">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8">
        <f>IF(A193="","",IF(COUNTIF($B$5:$B$304,B193)&gt;1,"DUPLICATE","UNIQUE"))</f>
        <v/>
      </c>
      <c r="V193" s="28">
        <f>IF(A193="","",IF(AND(B193&lt;&gt;"",C193&lt;&gt;"",D193&lt;&gt;"",E193&lt;&gt;"",F193&lt;&gt;"",G193&lt;&gt;"",H193&lt;&gt;"",J193&lt;&gt;"",K193&lt;&gt;"",L193&lt;&gt;"",M193&lt;&gt;"",O193&lt;&gt;"",P193&lt;&gt;"",R193&lt;&gt;""),"COMPLETE","MISSING FIELDS"))</f>
        <v/>
      </c>
    </row>
    <row r="194" ht="15" customHeight="1" s="15">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8">
        <f>IF(A194="","",IF(COUNTIF($B$5:$B$304,B194)&gt;1,"DUPLICATE","UNIQUE"))</f>
        <v/>
      </c>
      <c r="V194" s="28">
        <f>IF(A194="","",IF(AND(B194&lt;&gt;"",C194&lt;&gt;"",D194&lt;&gt;"",E194&lt;&gt;"",F194&lt;&gt;"",G194&lt;&gt;"",H194&lt;&gt;"",J194&lt;&gt;"",K194&lt;&gt;"",L194&lt;&gt;"",M194&lt;&gt;"",O194&lt;&gt;"",P194&lt;&gt;"",R194&lt;&gt;""),"COMPLETE","MISSING FIELDS"))</f>
        <v/>
      </c>
    </row>
    <row r="195" ht="15" customHeight="1" s="1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8">
        <f>IF(A195="","",IF(COUNTIF($B$5:$B$304,B195)&gt;1,"DUPLICATE","UNIQUE"))</f>
        <v/>
      </c>
      <c r="V195" s="28">
        <f>IF(A195="","",IF(AND(B195&lt;&gt;"",C195&lt;&gt;"",D195&lt;&gt;"",E195&lt;&gt;"",F195&lt;&gt;"",G195&lt;&gt;"",H195&lt;&gt;"",J195&lt;&gt;"",K195&lt;&gt;"",L195&lt;&gt;"",M195&lt;&gt;"",O195&lt;&gt;"",P195&lt;&gt;"",R195&lt;&gt;""),"COMPLETE","MISSING FIELDS"))</f>
        <v/>
      </c>
    </row>
    <row r="196" ht="15" customHeight="1" s="15">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8">
        <f>IF(A196="","",IF(COUNTIF($B$5:$B$304,B196)&gt;1,"DUPLICATE","UNIQUE"))</f>
        <v/>
      </c>
      <c r="V196" s="28">
        <f>IF(A196="","",IF(AND(B196&lt;&gt;"",C196&lt;&gt;"",D196&lt;&gt;"",E196&lt;&gt;"",F196&lt;&gt;"",G196&lt;&gt;"",H196&lt;&gt;"",J196&lt;&gt;"",K196&lt;&gt;"",L196&lt;&gt;"",M196&lt;&gt;"",O196&lt;&gt;"",P196&lt;&gt;"",R196&lt;&gt;""),"COMPLETE","MISSING FIELDS"))</f>
        <v/>
      </c>
    </row>
    <row r="197" ht="15" customHeight="1" s="15">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8">
        <f>IF(A197="","",IF(COUNTIF($B$5:$B$304,B197)&gt;1,"DUPLICATE","UNIQUE"))</f>
        <v/>
      </c>
      <c r="V197" s="28">
        <f>IF(A197="","",IF(AND(B197&lt;&gt;"",C197&lt;&gt;"",D197&lt;&gt;"",E197&lt;&gt;"",F197&lt;&gt;"",G197&lt;&gt;"",H197&lt;&gt;"",J197&lt;&gt;"",K197&lt;&gt;"",L197&lt;&gt;"",M197&lt;&gt;"",O197&lt;&gt;"",P197&lt;&gt;"",R197&lt;&gt;""),"COMPLETE","MISSING FIELDS"))</f>
        <v/>
      </c>
    </row>
    <row r="198" ht="15" customHeight="1" s="15">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8">
        <f>IF(A198="","",IF(COUNTIF($B$5:$B$304,B198)&gt;1,"DUPLICATE","UNIQUE"))</f>
        <v/>
      </c>
      <c r="V198" s="28">
        <f>IF(A198="","",IF(AND(B198&lt;&gt;"",C198&lt;&gt;"",D198&lt;&gt;"",E198&lt;&gt;"",F198&lt;&gt;"",G198&lt;&gt;"",H198&lt;&gt;"",J198&lt;&gt;"",K198&lt;&gt;"",L198&lt;&gt;"",M198&lt;&gt;"",O198&lt;&gt;"",P198&lt;&gt;"",R198&lt;&gt;""),"COMPLETE","MISSING FIELDS"))</f>
        <v/>
      </c>
    </row>
    <row r="199" ht="15" customHeight="1" s="15">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8">
        <f>IF(A199="","",IF(COUNTIF($B$5:$B$304,B199)&gt;1,"DUPLICATE","UNIQUE"))</f>
        <v/>
      </c>
      <c r="V199" s="28">
        <f>IF(A199="","",IF(AND(B199&lt;&gt;"",C199&lt;&gt;"",D199&lt;&gt;"",E199&lt;&gt;"",F199&lt;&gt;"",G199&lt;&gt;"",H199&lt;&gt;"",J199&lt;&gt;"",K199&lt;&gt;"",L199&lt;&gt;"",M199&lt;&gt;"",O199&lt;&gt;"",P199&lt;&gt;"",R199&lt;&gt;""),"COMPLETE","MISSING FIELDS"))</f>
        <v/>
      </c>
    </row>
    <row r="200" ht="15" customHeight="1" s="15">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8">
        <f>IF(A200="","",IF(COUNTIF($B$5:$B$304,B200)&gt;1,"DUPLICATE","UNIQUE"))</f>
        <v/>
      </c>
      <c r="V200" s="28">
        <f>IF(A200="","",IF(AND(B200&lt;&gt;"",C200&lt;&gt;"",D200&lt;&gt;"",E200&lt;&gt;"",F200&lt;&gt;"",G200&lt;&gt;"",H200&lt;&gt;"",J200&lt;&gt;"",K200&lt;&gt;"",L200&lt;&gt;"",M200&lt;&gt;"",O200&lt;&gt;"",P200&lt;&gt;"",R200&lt;&gt;""),"COMPLETE","MISSING FIELDS"))</f>
        <v/>
      </c>
    </row>
    <row r="201" ht="15" customHeight="1" s="15">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8">
        <f>IF(A201="","",IF(COUNTIF($B$5:$B$304,B201)&gt;1,"DUPLICATE","UNIQUE"))</f>
        <v/>
      </c>
      <c r="V201" s="28">
        <f>IF(A201="","",IF(AND(B201&lt;&gt;"",C201&lt;&gt;"",D201&lt;&gt;"",E201&lt;&gt;"",F201&lt;&gt;"",G201&lt;&gt;"",H201&lt;&gt;"",J201&lt;&gt;"",K201&lt;&gt;"",L201&lt;&gt;"",M201&lt;&gt;"",O201&lt;&gt;"",P201&lt;&gt;"",R201&lt;&gt;""),"COMPLETE","MISSING FIELDS"))</f>
        <v/>
      </c>
    </row>
    <row r="202" ht="15" customHeight="1" s="15">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8">
        <f>IF(A202="","",IF(COUNTIF($B$5:$B$304,B202)&gt;1,"DUPLICATE","UNIQUE"))</f>
        <v/>
      </c>
      <c r="V202" s="28">
        <f>IF(A202="","",IF(AND(B202&lt;&gt;"",C202&lt;&gt;"",D202&lt;&gt;"",E202&lt;&gt;"",F202&lt;&gt;"",G202&lt;&gt;"",H202&lt;&gt;"",J202&lt;&gt;"",K202&lt;&gt;"",L202&lt;&gt;"",M202&lt;&gt;"",O202&lt;&gt;"",P202&lt;&gt;"",R202&lt;&gt;""),"COMPLETE","MISSING FIELDS"))</f>
        <v/>
      </c>
    </row>
    <row r="203" ht="15" customHeight="1" s="15">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8">
        <f>IF(A203="","",IF(COUNTIF($B$5:$B$304,B203)&gt;1,"DUPLICATE","UNIQUE"))</f>
        <v/>
      </c>
      <c r="V203" s="28">
        <f>IF(A203="","",IF(AND(B203&lt;&gt;"",C203&lt;&gt;"",D203&lt;&gt;"",E203&lt;&gt;"",F203&lt;&gt;"",G203&lt;&gt;"",H203&lt;&gt;"",J203&lt;&gt;"",K203&lt;&gt;"",L203&lt;&gt;"",M203&lt;&gt;"",O203&lt;&gt;"",P203&lt;&gt;"",R203&lt;&gt;""),"COMPLETE","MISSING FIELDS"))</f>
        <v/>
      </c>
    </row>
    <row r="204" ht="15" customHeight="1" s="15">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8">
        <f>IF(A204="","",IF(COUNTIF($B$5:$B$304,B204)&gt;1,"DUPLICATE","UNIQUE"))</f>
        <v/>
      </c>
      <c r="V204" s="28">
        <f>IF(A204="","",IF(AND(B204&lt;&gt;"",C204&lt;&gt;"",D204&lt;&gt;"",E204&lt;&gt;"",F204&lt;&gt;"",G204&lt;&gt;"",H204&lt;&gt;"",J204&lt;&gt;"",K204&lt;&gt;"",L204&lt;&gt;"",M204&lt;&gt;"",O204&lt;&gt;"",P204&lt;&gt;"",R204&lt;&gt;""),"COMPLETE","MISSING FIELDS"))</f>
        <v/>
      </c>
    </row>
    <row r="205" ht="15" customHeight="1" s="1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8">
        <f>IF(A205="","",IF(COUNTIF($B$5:$B$304,B205)&gt;1,"DUPLICATE","UNIQUE"))</f>
        <v/>
      </c>
      <c r="V205" s="28">
        <f>IF(A205="","",IF(AND(B205&lt;&gt;"",C205&lt;&gt;"",D205&lt;&gt;"",E205&lt;&gt;"",F205&lt;&gt;"",G205&lt;&gt;"",H205&lt;&gt;"",J205&lt;&gt;"",K205&lt;&gt;"",L205&lt;&gt;"",M205&lt;&gt;"",O205&lt;&gt;"",P205&lt;&gt;"",R205&lt;&gt;""),"COMPLETE","MISSING FIELDS"))</f>
        <v/>
      </c>
    </row>
    <row r="206" ht="15" customHeight="1" s="15">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8">
        <f>IF(A206="","",IF(COUNTIF($B$5:$B$304,B206)&gt;1,"DUPLICATE","UNIQUE"))</f>
        <v/>
      </c>
      <c r="V206" s="28">
        <f>IF(A206="","",IF(AND(B206&lt;&gt;"",C206&lt;&gt;"",D206&lt;&gt;"",E206&lt;&gt;"",F206&lt;&gt;"",G206&lt;&gt;"",H206&lt;&gt;"",J206&lt;&gt;"",K206&lt;&gt;"",L206&lt;&gt;"",M206&lt;&gt;"",O206&lt;&gt;"",P206&lt;&gt;"",R206&lt;&gt;""),"COMPLETE","MISSING FIELDS"))</f>
        <v/>
      </c>
    </row>
    <row r="207" ht="15" customHeight="1" s="15">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8">
        <f>IF(A207="","",IF(COUNTIF($B$5:$B$304,B207)&gt;1,"DUPLICATE","UNIQUE"))</f>
        <v/>
      </c>
      <c r="V207" s="28">
        <f>IF(A207="","",IF(AND(B207&lt;&gt;"",C207&lt;&gt;"",D207&lt;&gt;"",E207&lt;&gt;"",F207&lt;&gt;"",G207&lt;&gt;"",H207&lt;&gt;"",J207&lt;&gt;"",K207&lt;&gt;"",L207&lt;&gt;"",M207&lt;&gt;"",O207&lt;&gt;"",P207&lt;&gt;"",R207&lt;&gt;""),"COMPLETE","MISSING FIELDS"))</f>
        <v/>
      </c>
    </row>
    <row r="208" ht="15" customHeight="1" s="15">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8">
        <f>IF(A208="","",IF(COUNTIF($B$5:$B$304,B208)&gt;1,"DUPLICATE","UNIQUE"))</f>
        <v/>
      </c>
      <c r="V208" s="28">
        <f>IF(A208="","",IF(AND(B208&lt;&gt;"",C208&lt;&gt;"",D208&lt;&gt;"",E208&lt;&gt;"",F208&lt;&gt;"",G208&lt;&gt;"",H208&lt;&gt;"",J208&lt;&gt;"",K208&lt;&gt;"",L208&lt;&gt;"",M208&lt;&gt;"",O208&lt;&gt;"",P208&lt;&gt;"",R208&lt;&gt;""),"COMPLETE","MISSING FIELDS"))</f>
        <v/>
      </c>
    </row>
    <row r="209" ht="15" customHeight="1" s="15">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8">
        <f>IF(A209="","",IF(COUNTIF($B$5:$B$304,B209)&gt;1,"DUPLICATE","UNIQUE"))</f>
        <v/>
      </c>
      <c r="V209" s="28">
        <f>IF(A209="","",IF(AND(B209&lt;&gt;"",C209&lt;&gt;"",D209&lt;&gt;"",E209&lt;&gt;"",F209&lt;&gt;"",G209&lt;&gt;"",H209&lt;&gt;"",J209&lt;&gt;"",K209&lt;&gt;"",L209&lt;&gt;"",M209&lt;&gt;"",O209&lt;&gt;"",P209&lt;&gt;"",R209&lt;&gt;""),"COMPLETE","MISSING FIELDS"))</f>
        <v/>
      </c>
    </row>
    <row r="210" ht="15" customHeight="1" s="15">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8">
        <f>IF(A210="","",IF(COUNTIF($B$5:$B$304,B210)&gt;1,"DUPLICATE","UNIQUE"))</f>
        <v/>
      </c>
      <c r="V210" s="28">
        <f>IF(A210="","",IF(AND(B210&lt;&gt;"",C210&lt;&gt;"",D210&lt;&gt;"",E210&lt;&gt;"",F210&lt;&gt;"",G210&lt;&gt;"",H210&lt;&gt;"",J210&lt;&gt;"",K210&lt;&gt;"",L210&lt;&gt;"",M210&lt;&gt;"",O210&lt;&gt;"",P210&lt;&gt;"",R210&lt;&gt;""),"COMPLETE","MISSING FIELDS"))</f>
        <v/>
      </c>
    </row>
    <row r="211" ht="15" customHeight="1" s="15">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8">
        <f>IF(A211="","",IF(COUNTIF($B$5:$B$304,B211)&gt;1,"DUPLICATE","UNIQUE"))</f>
        <v/>
      </c>
      <c r="V211" s="28">
        <f>IF(A211="","",IF(AND(B211&lt;&gt;"",C211&lt;&gt;"",D211&lt;&gt;"",E211&lt;&gt;"",F211&lt;&gt;"",G211&lt;&gt;"",H211&lt;&gt;"",J211&lt;&gt;"",K211&lt;&gt;"",L211&lt;&gt;"",M211&lt;&gt;"",O211&lt;&gt;"",P211&lt;&gt;"",R211&lt;&gt;""),"COMPLETE","MISSING FIELDS"))</f>
        <v/>
      </c>
    </row>
    <row r="212" ht="15" customHeight="1" s="15">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8">
        <f>IF(A212="","",IF(COUNTIF($B$5:$B$304,B212)&gt;1,"DUPLICATE","UNIQUE"))</f>
        <v/>
      </c>
      <c r="V212" s="28">
        <f>IF(A212="","",IF(AND(B212&lt;&gt;"",C212&lt;&gt;"",D212&lt;&gt;"",E212&lt;&gt;"",F212&lt;&gt;"",G212&lt;&gt;"",H212&lt;&gt;"",J212&lt;&gt;"",K212&lt;&gt;"",L212&lt;&gt;"",M212&lt;&gt;"",O212&lt;&gt;"",P212&lt;&gt;"",R212&lt;&gt;""),"COMPLETE","MISSING FIELDS"))</f>
        <v/>
      </c>
    </row>
    <row r="213" ht="15" customHeight="1" s="15">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8">
        <f>IF(A213="","",IF(COUNTIF($B$5:$B$304,B213)&gt;1,"DUPLICATE","UNIQUE"))</f>
        <v/>
      </c>
      <c r="V213" s="28">
        <f>IF(A213="","",IF(AND(B213&lt;&gt;"",C213&lt;&gt;"",D213&lt;&gt;"",E213&lt;&gt;"",F213&lt;&gt;"",G213&lt;&gt;"",H213&lt;&gt;"",J213&lt;&gt;"",K213&lt;&gt;"",L213&lt;&gt;"",M213&lt;&gt;"",O213&lt;&gt;"",P213&lt;&gt;"",R213&lt;&gt;""),"COMPLETE","MISSING FIELDS"))</f>
        <v/>
      </c>
    </row>
    <row r="214" ht="15" customHeight="1" s="15">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8">
        <f>IF(A214="","",IF(COUNTIF($B$5:$B$304,B214)&gt;1,"DUPLICATE","UNIQUE"))</f>
        <v/>
      </c>
      <c r="V214" s="28">
        <f>IF(A214="","",IF(AND(B214&lt;&gt;"",C214&lt;&gt;"",D214&lt;&gt;"",E214&lt;&gt;"",F214&lt;&gt;"",G214&lt;&gt;"",H214&lt;&gt;"",J214&lt;&gt;"",K214&lt;&gt;"",L214&lt;&gt;"",M214&lt;&gt;"",O214&lt;&gt;"",P214&lt;&gt;"",R214&lt;&gt;""),"COMPLETE","MISSING FIELDS"))</f>
        <v/>
      </c>
    </row>
    <row r="215" ht="15" customHeight="1" s="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8">
        <f>IF(A215="","",IF(COUNTIF($B$5:$B$304,B215)&gt;1,"DUPLICATE","UNIQUE"))</f>
        <v/>
      </c>
      <c r="V215" s="28">
        <f>IF(A215="","",IF(AND(B215&lt;&gt;"",C215&lt;&gt;"",D215&lt;&gt;"",E215&lt;&gt;"",F215&lt;&gt;"",G215&lt;&gt;"",H215&lt;&gt;"",J215&lt;&gt;"",K215&lt;&gt;"",L215&lt;&gt;"",M215&lt;&gt;"",O215&lt;&gt;"",P215&lt;&gt;"",R215&lt;&gt;""),"COMPLETE","MISSING FIELDS"))</f>
        <v/>
      </c>
    </row>
    <row r="216" ht="15" customHeight="1" s="15">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8">
        <f>IF(A216="","",IF(COUNTIF($B$5:$B$304,B216)&gt;1,"DUPLICATE","UNIQUE"))</f>
        <v/>
      </c>
      <c r="V216" s="28">
        <f>IF(A216="","",IF(AND(B216&lt;&gt;"",C216&lt;&gt;"",D216&lt;&gt;"",E216&lt;&gt;"",F216&lt;&gt;"",G216&lt;&gt;"",H216&lt;&gt;"",J216&lt;&gt;"",K216&lt;&gt;"",L216&lt;&gt;"",M216&lt;&gt;"",O216&lt;&gt;"",P216&lt;&gt;"",R216&lt;&gt;""),"COMPLETE","MISSING FIELDS"))</f>
        <v/>
      </c>
    </row>
    <row r="217" ht="15" customHeight="1" s="15">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8">
        <f>IF(A217="","",IF(COUNTIF($B$5:$B$304,B217)&gt;1,"DUPLICATE","UNIQUE"))</f>
        <v/>
      </c>
      <c r="V217" s="28">
        <f>IF(A217="","",IF(AND(B217&lt;&gt;"",C217&lt;&gt;"",D217&lt;&gt;"",E217&lt;&gt;"",F217&lt;&gt;"",G217&lt;&gt;"",H217&lt;&gt;"",J217&lt;&gt;"",K217&lt;&gt;"",L217&lt;&gt;"",M217&lt;&gt;"",O217&lt;&gt;"",P217&lt;&gt;"",R217&lt;&gt;""),"COMPLETE","MISSING FIELDS"))</f>
        <v/>
      </c>
    </row>
    <row r="218" ht="15" customHeight="1" s="15">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8">
        <f>IF(A218="","",IF(COUNTIF($B$5:$B$304,B218)&gt;1,"DUPLICATE","UNIQUE"))</f>
        <v/>
      </c>
      <c r="V218" s="28">
        <f>IF(A218="","",IF(AND(B218&lt;&gt;"",C218&lt;&gt;"",D218&lt;&gt;"",E218&lt;&gt;"",F218&lt;&gt;"",G218&lt;&gt;"",H218&lt;&gt;"",J218&lt;&gt;"",K218&lt;&gt;"",L218&lt;&gt;"",M218&lt;&gt;"",O218&lt;&gt;"",P218&lt;&gt;"",R218&lt;&gt;""),"COMPLETE","MISSING FIELDS"))</f>
        <v/>
      </c>
    </row>
    <row r="219" ht="15" customHeight="1" s="15">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8">
        <f>IF(A219="","",IF(COUNTIF($B$5:$B$304,B219)&gt;1,"DUPLICATE","UNIQUE"))</f>
        <v/>
      </c>
      <c r="V219" s="28">
        <f>IF(A219="","",IF(AND(B219&lt;&gt;"",C219&lt;&gt;"",D219&lt;&gt;"",E219&lt;&gt;"",F219&lt;&gt;"",G219&lt;&gt;"",H219&lt;&gt;"",J219&lt;&gt;"",K219&lt;&gt;"",L219&lt;&gt;"",M219&lt;&gt;"",O219&lt;&gt;"",P219&lt;&gt;"",R219&lt;&gt;""),"COMPLETE","MISSING FIELDS"))</f>
        <v/>
      </c>
    </row>
    <row r="220" ht="15" customHeight="1" s="15">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8">
        <f>IF(A220="","",IF(COUNTIF($B$5:$B$304,B220)&gt;1,"DUPLICATE","UNIQUE"))</f>
        <v/>
      </c>
      <c r="V220" s="28">
        <f>IF(A220="","",IF(AND(B220&lt;&gt;"",C220&lt;&gt;"",D220&lt;&gt;"",E220&lt;&gt;"",F220&lt;&gt;"",G220&lt;&gt;"",H220&lt;&gt;"",J220&lt;&gt;"",K220&lt;&gt;"",L220&lt;&gt;"",M220&lt;&gt;"",O220&lt;&gt;"",P220&lt;&gt;"",R220&lt;&gt;""),"COMPLETE","MISSING FIELDS"))</f>
        <v/>
      </c>
    </row>
    <row r="221" ht="15" customHeight="1" s="15">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8">
        <f>IF(A221="","",IF(COUNTIF($B$5:$B$304,B221)&gt;1,"DUPLICATE","UNIQUE"))</f>
        <v/>
      </c>
      <c r="V221" s="28">
        <f>IF(A221="","",IF(AND(B221&lt;&gt;"",C221&lt;&gt;"",D221&lt;&gt;"",E221&lt;&gt;"",F221&lt;&gt;"",G221&lt;&gt;"",H221&lt;&gt;"",J221&lt;&gt;"",K221&lt;&gt;"",L221&lt;&gt;"",M221&lt;&gt;"",O221&lt;&gt;"",P221&lt;&gt;"",R221&lt;&gt;""),"COMPLETE","MISSING FIELDS"))</f>
        <v/>
      </c>
    </row>
    <row r="222" ht="15" customHeight="1" s="15">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8">
        <f>IF(A222="","",IF(COUNTIF($B$5:$B$304,B222)&gt;1,"DUPLICATE","UNIQUE"))</f>
        <v/>
      </c>
      <c r="V222" s="28">
        <f>IF(A222="","",IF(AND(B222&lt;&gt;"",C222&lt;&gt;"",D222&lt;&gt;"",E222&lt;&gt;"",F222&lt;&gt;"",G222&lt;&gt;"",H222&lt;&gt;"",J222&lt;&gt;"",K222&lt;&gt;"",L222&lt;&gt;"",M222&lt;&gt;"",O222&lt;&gt;"",P222&lt;&gt;"",R222&lt;&gt;""),"COMPLETE","MISSING FIELDS"))</f>
        <v/>
      </c>
    </row>
    <row r="223" ht="15" customHeight="1" s="15">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8">
        <f>IF(A223="","",IF(COUNTIF($B$5:$B$304,B223)&gt;1,"DUPLICATE","UNIQUE"))</f>
        <v/>
      </c>
      <c r="V223" s="28">
        <f>IF(A223="","",IF(AND(B223&lt;&gt;"",C223&lt;&gt;"",D223&lt;&gt;"",E223&lt;&gt;"",F223&lt;&gt;"",G223&lt;&gt;"",H223&lt;&gt;"",J223&lt;&gt;"",K223&lt;&gt;"",L223&lt;&gt;"",M223&lt;&gt;"",O223&lt;&gt;"",P223&lt;&gt;"",R223&lt;&gt;""),"COMPLETE","MISSING FIELDS"))</f>
        <v/>
      </c>
    </row>
    <row r="224" ht="15" customHeight="1" s="15">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8">
        <f>IF(A224="","",IF(COUNTIF($B$5:$B$304,B224)&gt;1,"DUPLICATE","UNIQUE"))</f>
        <v/>
      </c>
      <c r="V224" s="28">
        <f>IF(A224="","",IF(AND(B224&lt;&gt;"",C224&lt;&gt;"",D224&lt;&gt;"",E224&lt;&gt;"",F224&lt;&gt;"",G224&lt;&gt;"",H224&lt;&gt;"",J224&lt;&gt;"",K224&lt;&gt;"",L224&lt;&gt;"",M224&lt;&gt;"",O224&lt;&gt;"",P224&lt;&gt;"",R224&lt;&gt;""),"COMPLETE","MISSING FIELDS"))</f>
        <v/>
      </c>
    </row>
    <row r="225" ht="15" customHeight="1" s="1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8">
        <f>IF(A225="","",IF(COUNTIF($B$5:$B$304,B225)&gt;1,"DUPLICATE","UNIQUE"))</f>
        <v/>
      </c>
      <c r="V225" s="28">
        <f>IF(A225="","",IF(AND(B225&lt;&gt;"",C225&lt;&gt;"",D225&lt;&gt;"",E225&lt;&gt;"",F225&lt;&gt;"",G225&lt;&gt;"",H225&lt;&gt;"",J225&lt;&gt;"",K225&lt;&gt;"",L225&lt;&gt;"",M225&lt;&gt;"",O225&lt;&gt;"",P225&lt;&gt;"",R225&lt;&gt;""),"COMPLETE","MISSING FIELDS"))</f>
        <v/>
      </c>
    </row>
    <row r="226" ht="15" customHeight="1" s="15">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8">
        <f>IF(A226="","",IF(COUNTIF($B$5:$B$304,B226)&gt;1,"DUPLICATE","UNIQUE"))</f>
        <v/>
      </c>
      <c r="V226" s="28">
        <f>IF(A226="","",IF(AND(B226&lt;&gt;"",C226&lt;&gt;"",D226&lt;&gt;"",E226&lt;&gt;"",F226&lt;&gt;"",G226&lt;&gt;"",H226&lt;&gt;"",J226&lt;&gt;"",K226&lt;&gt;"",L226&lt;&gt;"",M226&lt;&gt;"",O226&lt;&gt;"",P226&lt;&gt;"",R226&lt;&gt;""),"COMPLETE","MISSING FIELDS"))</f>
        <v/>
      </c>
    </row>
    <row r="227" ht="15" customHeight="1" s="15">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8">
        <f>IF(A227="","",IF(COUNTIF($B$5:$B$304,B227)&gt;1,"DUPLICATE","UNIQUE"))</f>
        <v/>
      </c>
      <c r="V227" s="28">
        <f>IF(A227="","",IF(AND(B227&lt;&gt;"",C227&lt;&gt;"",D227&lt;&gt;"",E227&lt;&gt;"",F227&lt;&gt;"",G227&lt;&gt;"",H227&lt;&gt;"",J227&lt;&gt;"",K227&lt;&gt;"",L227&lt;&gt;"",M227&lt;&gt;"",O227&lt;&gt;"",P227&lt;&gt;"",R227&lt;&gt;""),"COMPLETE","MISSING FIELDS"))</f>
        <v/>
      </c>
    </row>
    <row r="228" ht="15" customHeight="1" s="15">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8">
        <f>IF(A228="","",IF(COUNTIF($B$5:$B$304,B228)&gt;1,"DUPLICATE","UNIQUE"))</f>
        <v/>
      </c>
      <c r="V228" s="28">
        <f>IF(A228="","",IF(AND(B228&lt;&gt;"",C228&lt;&gt;"",D228&lt;&gt;"",E228&lt;&gt;"",F228&lt;&gt;"",G228&lt;&gt;"",H228&lt;&gt;"",J228&lt;&gt;"",K228&lt;&gt;"",L228&lt;&gt;"",M228&lt;&gt;"",O228&lt;&gt;"",P228&lt;&gt;"",R228&lt;&gt;""),"COMPLETE","MISSING FIELDS"))</f>
        <v/>
      </c>
    </row>
    <row r="229" ht="15" customHeight="1" s="15">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8">
        <f>IF(A229="","",IF(COUNTIF($B$5:$B$304,B229)&gt;1,"DUPLICATE","UNIQUE"))</f>
        <v/>
      </c>
      <c r="V229" s="28">
        <f>IF(A229="","",IF(AND(B229&lt;&gt;"",C229&lt;&gt;"",D229&lt;&gt;"",E229&lt;&gt;"",F229&lt;&gt;"",G229&lt;&gt;"",H229&lt;&gt;"",J229&lt;&gt;"",K229&lt;&gt;"",L229&lt;&gt;"",M229&lt;&gt;"",O229&lt;&gt;"",P229&lt;&gt;"",R229&lt;&gt;""),"COMPLETE","MISSING FIELDS"))</f>
        <v/>
      </c>
    </row>
    <row r="230" ht="15" customHeight="1" s="15">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8">
        <f>IF(A230="","",IF(COUNTIF($B$5:$B$304,B230)&gt;1,"DUPLICATE","UNIQUE"))</f>
        <v/>
      </c>
      <c r="V230" s="28">
        <f>IF(A230="","",IF(AND(B230&lt;&gt;"",C230&lt;&gt;"",D230&lt;&gt;"",E230&lt;&gt;"",F230&lt;&gt;"",G230&lt;&gt;"",H230&lt;&gt;"",J230&lt;&gt;"",K230&lt;&gt;"",L230&lt;&gt;"",M230&lt;&gt;"",O230&lt;&gt;"",P230&lt;&gt;"",R230&lt;&gt;""),"COMPLETE","MISSING FIELDS"))</f>
        <v/>
      </c>
    </row>
    <row r="231" ht="15" customHeight="1" s="15">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8">
        <f>IF(A231="","",IF(COUNTIF($B$5:$B$304,B231)&gt;1,"DUPLICATE","UNIQUE"))</f>
        <v/>
      </c>
      <c r="V231" s="28">
        <f>IF(A231="","",IF(AND(B231&lt;&gt;"",C231&lt;&gt;"",D231&lt;&gt;"",E231&lt;&gt;"",F231&lt;&gt;"",G231&lt;&gt;"",H231&lt;&gt;"",J231&lt;&gt;"",K231&lt;&gt;"",L231&lt;&gt;"",M231&lt;&gt;"",O231&lt;&gt;"",P231&lt;&gt;"",R231&lt;&gt;""),"COMPLETE","MISSING FIELDS"))</f>
        <v/>
      </c>
    </row>
    <row r="232" ht="15" customHeight="1" s="15">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8">
        <f>IF(A232="","",IF(COUNTIF($B$5:$B$304,B232)&gt;1,"DUPLICATE","UNIQUE"))</f>
        <v/>
      </c>
      <c r="V232" s="28">
        <f>IF(A232="","",IF(AND(B232&lt;&gt;"",C232&lt;&gt;"",D232&lt;&gt;"",E232&lt;&gt;"",F232&lt;&gt;"",G232&lt;&gt;"",H232&lt;&gt;"",J232&lt;&gt;"",K232&lt;&gt;"",L232&lt;&gt;"",M232&lt;&gt;"",O232&lt;&gt;"",P232&lt;&gt;"",R232&lt;&gt;""),"COMPLETE","MISSING FIELDS"))</f>
        <v/>
      </c>
    </row>
    <row r="233" ht="15" customHeight="1" s="15">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8">
        <f>IF(A233="","",IF(COUNTIF($B$5:$B$304,B233)&gt;1,"DUPLICATE","UNIQUE"))</f>
        <v/>
      </c>
      <c r="V233" s="28">
        <f>IF(A233="","",IF(AND(B233&lt;&gt;"",C233&lt;&gt;"",D233&lt;&gt;"",E233&lt;&gt;"",F233&lt;&gt;"",G233&lt;&gt;"",H233&lt;&gt;"",J233&lt;&gt;"",K233&lt;&gt;"",L233&lt;&gt;"",M233&lt;&gt;"",O233&lt;&gt;"",P233&lt;&gt;"",R233&lt;&gt;""),"COMPLETE","MISSING FIELDS"))</f>
        <v/>
      </c>
    </row>
    <row r="234" ht="15" customHeight="1" s="15">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8">
        <f>IF(A234="","",IF(COUNTIF($B$5:$B$304,B234)&gt;1,"DUPLICATE","UNIQUE"))</f>
        <v/>
      </c>
      <c r="V234" s="28">
        <f>IF(A234="","",IF(AND(B234&lt;&gt;"",C234&lt;&gt;"",D234&lt;&gt;"",E234&lt;&gt;"",F234&lt;&gt;"",G234&lt;&gt;"",H234&lt;&gt;"",J234&lt;&gt;"",K234&lt;&gt;"",L234&lt;&gt;"",M234&lt;&gt;"",O234&lt;&gt;"",P234&lt;&gt;"",R234&lt;&gt;""),"COMPLETE","MISSING FIELDS"))</f>
        <v/>
      </c>
    </row>
    <row r="235" ht="15" customHeight="1" s="1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8">
        <f>IF(A235="","",IF(COUNTIF($B$5:$B$304,B235)&gt;1,"DUPLICATE","UNIQUE"))</f>
        <v/>
      </c>
      <c r="V235" s="28">
        <f>IF(A235="","",IF(AND(B235&lt;&gt;"",C235&lt;&gt;"",D235&lt;&gt;"",E235&lt;&gt;"",F235&lt;&gt;"",G235&lt;&gt;"",H235&lt;&gt;"",J235&lt;&gt;"",K235&lt;&gt;"",L235&lt;&gt;"",M235&lt;&gt;"",O235&lt;&gt;"",P235&lt;&gt;"",R235&lt;&gt;""),"COMPLETE","MISSING FIELDS"))</f>
        <v/>
      </c>
    </row>
    <row r="236" ht="15" customHeight="1" s="15">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8">
        <f>IF(A236="","",IF(COUNTIF($B$5:$B$304,B236)&gt;1,"DUPLICATE","UNIQUE"))</f>
        <v/>
      </c>
      <c r="V236" s="28">
        <f>IF(A236="","",IF(AND(B236&lt;&gt;"",C236&lt;&gt;"",D236&lt;&gt;"",E236&lt;&gt;"",F236&lt;&gt;"",G236&lt;&gt;"",H236&lt;&gt;"",J236&lt;&gt;"",K236&lt;&gt;"",L236&lt;&gt;"",M236&lt;&gt;"",O236&lt;&gt;"",P236&lt;&gt;"",R236&lt;&gt;""),"COMPLETE","MISSING FIELDS"))</f>
        <v/>
      </c>
    </row>
    <row r="237" ht="15" customHeight="1" s="15">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8">
        <f>IF(A237="","",IF(COUNTIF($B$5:$B$304,B237)&gt;1,"DUPLICATE","UNIQUE"))</f>
        <v/>
      </c>
      <c r="V237" s="28">
        <f>IF(A237="","",IF(AND(B237&lt;&gt;"",C237&lt;&gt;"",D237&lt;&gt;"",E237&lt;&gt;"",F237&lt;&gt;"",G237&lt;&gt;"",H237&lt;&gt;"",J237&lt;&gt;"",K237&lt;&gt;"",L237&lt;&gt;"",M237&lt;&gt;"",O237&lt;&gt;"",P237&lt;&gt;"",R237&lt;&gt;""),"COMPLETE","MISSING FIELDS"))</f>
        <v/>
      </c>
    </row>
    <row r="238" ht="15" customHeight="1" s="15">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8">
        <f>IF(A238="","",IF(COUNTIF($B$5:$B$304,B238)&gt;1,"DUPLICATE","UNIQUE"))</f>
        <v/>
      </c>
      <c r="V238" s="28">
        <f>IF(A238="","",IF(AND(B238&lt;&gt;"",C238&lt;&gt;"",D238&lt;&gt;"",E238&lt;&gt;"",F238&lt;&gt;"",G238&lt;&gt;"",H238&lt;&gt;"",J238&lt;&gt;"",K238&lt;&gt;"",L238&lt;&gt;"",M238&lt;&gt;"",O238&lt;&gt;"",P238&lt;&gt;"",R238&lt;&gt;""),"COMPLETE","MISSING FIELDS"))</f>
        <v/>
      </c>
    </row>
    <row r="239" ht="15" customHeight="1" s="15">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8">
        <f>IF(A239="","",IF(COUNTIF($B$5:$B$304,B239)&gt;1,"DUPLICATE","UNIQUE"))</f>
        <v/>
      </c>
      <c r="V239" s="28">
        <f>IF(A239="","",IF(AND(B239&lt;&gt;"",C239&lt;&gt;"",D239&lt;&gt;"",E239&lt;&gt;"",F239&lt;&gt;"",G239&lt;&gt;"",H239&lt;&gt;"",J239&lt;&gt;"",K239&lt;&gt;"",L239&lt;&gt;"",M239&lt;&gt;"",O239&lt;&gt;"",P239&lt;&gt;"",R239&lt;&gt;""),"COMPLETE","MISSING FIELDS"))</f>
        <v/>
      </c>
    </row>
    <row r="240" ht="15" customHeight="1" s="15">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8">
        <f>IF(A240="","",IF(COUNTIF($B$5:$B$304,B240)&gt;1,"DUPLICATE","UNIQUE"))</f>
        <v/>
      </c>
      <c r="V240" s="28">
        <f>IF(A240="","",IF(AND(B240&lt;&gt;"",C240&lt;&gt;"",D240&lt;&gt;"",E240&lt;&gt;"",F240&lt;&gt;"",G240&lt;&gt;"",H240&lt;&gt;"",J240&lt;&gt;"",K240&lt;&gt;"",L240&lt;&gt;"",M240&lt;&gt;"",O240&lt;&gt;"",P240&lt;&gt;"",R240&lt;&gt;""),"COMPLETE","MISSING FIELDS"))</f>
        <v/>
      </c>
    </row>
    <row r="241" ht="15" customHeight="1" s="15">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8">
        <f>IF(A241="","",IF(COUNTIF($B$5:$B$304,B241)&gt;1,"DUPLICATE","UNIQUE"))</f>
        <v/>
      </c>
      <c r="V241" s="28">
        <f>IF(A241="","",IF(AND(B241&lt;&gt;"",C241&lt;&gt;"",D241&lt;&gt;"",E241&lt;&gt;"",F241&lt;&gt;"",G241&lt;&gt;"",H241&lt;&gt;"",J241&lt;&gt;"",K241&lt;&gt;"",L241&lt;&gt;"",M241&lt;&gt;"",O241&lt;&gt;"",P241&lt;&gt;"",R241&lt;&gt;""),"COMPLETE","MISSING FIELDS"))</f>
        <v/>
      </c>
    </row>
    <row r="242" ht="15" customHeight="1" s="15">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8">
        <f>IF(A242="","",IF(COUNTIF($B$5:$B$304,B242)&gt;1,"DUPLICATE","UNIQUE"))</f>
        <v/>
      </c>
      <c r="V242" s="28">
        <f>IF(A242="","",IF(AND(B242&lt;&gt;"",C242&lt;&gt;"",D242&lt;&gt;"",E242&lt;&gt;"",F242&lt;&gt;"",G242&lt;&gt;"",H242&lt;&gt;"",J242&lt;&gt;"",K242&lt;&gt;"",L242&lt;&gt;"",M242&lt;&gt;"",O242&lt;&gt;"",P242&lt;&gt;"",R242&lt;&gt;""),"COMPLETE","MISSING FIELDS"))</f>
        <v/>
      </c>
    </row>
    <row r="243" ht="15" customHeight="1" s="15">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8">
        <f>IF(A243="","",IF(COUNTIF($B$5:$B$304,B243)&gt;1,"DUPLICATE","UNIQUE"))</f>
        <v/>
      </c>
      <c r="V243" s="28">
        <f>IF(A243="","",IF(AND(B243&lt;&gt;"",C243&lt;&gt;"",D243&lt;&gt;"",E243&lt;&gt;"",F243&lt;&gt;"",G243&lt;&gt;"",H243&lt;&gt;"",J243&lt;&gt;"",K243&lt;&gt;"",L243&lt;&gt;"",M243&lt;&gt;"",O243&lt;&gt;"",P243&lt;&gt;"",R243&lt;&gt;""),"COMPLETE","MISSING FIELDS"))</f>
        <v/>
      </c>
    </row>
    <row r="244" ht="15" customHeight="1" s="15">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8">
        <f>IF(A244="","",IF(COUNTIF($B$5:$B$304,B244)&gt;1,"DUPLICATE","UNIQUE"))</f>
        <v/>
      </c>
      <c r="V244" s="28">
        <f>IF(A244="","",IF(AND(B244&lt;&gt;"",C244&lt;&gt;"",D244&lt;&gt;"",E244&lt;&gt;"",F244&lt;&gt;"",G244&lt;&gt;"",H244&lt;&gt;"",J244&lt;&gt;"",K244&lt;&gt;"",L244&lt;&gt;"",M244&lt;&gt;"",O244&lt;&gt;"",P244&lt;&gt;"",R244&lt;&gt;""),"COMPLETE","MISSING FIELDS"))</f>
        <v/>
      </c>
    </row>
    <row r="245" ht="15" customHeight="1" s="1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8">
        <f>IF(A245="","",IF(COUNTIF($B$5:$B$304,B245)&gt;1,"DUPLICATE","UNIQUE"))</f>
        <v/>
      </c>
      <c r="V245" s="28">
        <f>IF(A245="","",IF(AND(B245&lt;&gt;"",C245&lt;&gt;"",D245&lt;&gt;"",E245&lt;&gt;"",F245&lt;&gt;"",G245&lt;&gt;"",H245&lt;&gt;"",J245&lt;&gt;"",K245&lt;&gt;"",L245&lt;&gt;"",M245&lt;&gt;"",O245&lt;&gt;"",P245&lt;&gt;"",R245&lt;&gt;""),"COMPLETE","MISSING FIELDS"))</f>
        <v/>
      </c>
    </row>
    <row r="246" ht="15" customHeight="1" s="15">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8">
        <f>IF(A246="","",IF(COUNTIF($B$5:$B$304,B246)&gt;1,"DUPLICATE","UNIQUE"))</f>
        <v/>
      </c>
      <c r="V246" s="28">
        <f>IF(A246="","",IF(AND(B246&lt;&gt;"",C246&lt;&gt;"",D246&lt;&gt;"",E246&lt;&gt;"",F246&lt;&gt;"",G246&lt;&gt;"",H246&lt;&gt;"",J246&lt;&gt;"",K246&lt;&gt;"",L246&lt;&gt;"",M246&lt;&gt;"",O246&lt;&gt;"",P246&lt;&gt;"",R246&lt;&gt;""),"COMPLETE","MISSING FIELDS"))</f>
        <v/>
      </c>
    </row>
    <row r="247" ht="15" customHeight="1" s="15">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8">
        <f>IF(A247="","",IF(COUNTIF($B$5:$B$304,B247)&gt;1,"DUPLICATE","UNIQUE"))</f>
        <v/>
      </c>
      <c r="V247" s="28">
        <f>IF(A247="","",IF(AND(B247&lt;&gt;"",C247&lt;&gt;"",D247&lt;&gt;"",E247&lt;&gt;"",F247&lt;&gt;"",G247&lt;&gt;"",H247&lt;&gt;"",J247&lt;&gt;"",K247&lt;&gt;"",L247&lt;&gt;"",M247&lt;&gt;"",O247&lt;&gt;"",P247&lt;&gt;"",R247&lt;&gt;""),"COMPLETE","MISSING FIELDS"))</f>
        <v/>
      </c>
    </row>
    <row r="248" ht="15" customHeight="1" s="15">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8">
        <f>IF(A248="","",IF(COUNTIF($B$5:$B$304,B248)&gt;1,"DUPLICATE","UNIQUE"))</f>
        <v/>
      </c>
      <c r="V248" s="28">
        <f>IF(A248="","",IF(AND(B248&lt;&gt;"",C248&lt;&gt;"",D248&lt;&gt;"",E248&lt;&gt;"",F248&lt;&gt;"",G248&lt;&gt;"",H248&lt;&gt;"",J248&lt;&gt;"",K248&lt;&gt;"",L248&lt;&gt;"",M248&lt;&gt;"",O248&lt;&gt;"",P248&lt;&gt;"",R248&lt;&gt;""),"COMPLETE","MISSING FIELDS"))</f>
        <v/>
      </c>
    </row>
    <row r="249" ht="15" customHeight="1" s="15">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8">
        <f>IF(A249="","",IF(COUNTIF($B$5:$B$304,B249)&gt;1,"DUPLICATE","UNIQUE"))</f>
        <v/>
      </c>
      <c r="V249" s="28">
        <f>IF(A249="","",IF(AND(B249&lt;&gt;"",C249&lt;&gt;"",D249&lt;&gt;"",E249&lt;&gt;"",F249&lt;&gt;"",G249&lt;&gt;"",H249&lt;&gt;"",J249&lt;&gt;"",K249&lt;&gt;"",L249&lt;&gt;"",M249&lt;&gt;"",O249&lt;&gt;"",P249&lt;&gt;"",R249&lt;&gt;""),"COMPLETE","MISSING FIELDS"))</f>
        <v/>
      </c>
    </row>
    <row r="250" ht="15" customHeight="1" s="15">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8">
        <f>IF(A250="","",IF(COUNTIF($B$5:$B$304,B250)&gt;1,"DUPLICATE","UNIQUE"))</f>
        <v/>
      </c>
      <c r="V250" s="28">
        <f>IF(A250="","",IF(AND(B250&lt;&gt;"",C250&lt;&gt;"",D250&lt;&gt;"",E250&lt;&gt;"",F250&lt;&gt;"",G250&lt;&gt;"",H250&lt;&gt;"",J250&lt;&gt;"",K250&lt;&gt;"",L250&lt;&gt;"",M250&lt;&gt;"",O250&lt;&gt;"",P250&lt;&gt;"",R250&lt;&gt;""),"COMPLETE","MISSING FIELDS"))</f>
        <v/>
      </c>
    </row>
    <row r="251" ht="15" customHeight="1" s="15">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8">
        <f>IF(A251="","",IF(COUNTIF($B$5:$B$304,B251)&gt;1,"DUPLICATE","UNIQUE"))</f>
        <v/>
      </c>
      <c r="V251" s="28">
        <f>IF(A251="","",IF(AND(B251&lt;&gt;"",C251&lt;&gt;"",D251&lt;&gt;"",E251&lt;&gt;"",F251&lt;&gt;"",G251&lt;&gt;"",H251&lt;&gt;"",J251&lt;&gt;"",K251&lt;&gt;"",L251&lt;&gt;"",M251&lt;&gt;"",O251&lt;&gt;"",P251&lt;&gt;"",R251&lt;&gt;""),"COMPLETE","MISSING FIELDS"))</f>
        <v/>
      </c>
    </row>
    <row r="252" ht="15" customHeight="1" s="15">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8">
        <f>IF(A252="","",IF(COUNTIF($B$5:$B$304,B252)&gt;1,"DUPLICATE","UNIQUE"))</f>
        <v/>
      </c>
      <c r="V252" s="28">
        <f>IF(A252="","",IF(AND(B252&lt;&gt;"",C252&lt;&gt;"",D252&lt;&gt;"",E252&lt;&gt;"",F252&lt;&gt;"",G252&lt;&gt;"",H252&lt;&gt;"",J252&lt;&gt;"",K252&lt;&gt;"",L252&lt;&gt;"",M252&lt;&gt;"",O252&lt;&gt;"",P252&lt;&gt;"",R252&lt;&gt;""),"COMPLETE","MISSING FIELDS"))</f>
        <v/>
      </c>
    </row>
    <row r="253" ht="15" customHeight="1" s="15">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8">
        <f>IF(A253="","",IF(COUNTIF($B$5:$B$304,B253)&gt;1,"DUPLICATE","UNIQUE"))</f>
        <v/>
      </c>
      <c r="V253" s="28">
        <f>IF(A253="","",IF(AND(B253&lt;&gt;"",C253&lt;&gt;"",D253&lt;&gt;"",E253&lt;&gt;"",F253&lt;&gt;"",G253&lt;&gt;"",H253&lt;&gt;"",J253&lt;&gt;"",K253&lt;&gt;"",L253&lt;&gt;"",M253&lt;&gt;"",O253&lt;&gt;"",P253&lt;&gt;"",R253&lt;&gt;""),"COMPLETE","MISSING FIELDS"))</f>
        <v/>
      </c>
    </row>
    <row r="254" ht="15" customHeight="1" s="15">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8">
        <f>IF(A254="","",IF(COUNTIF($B$5:$B$304,B254)&gt;1,"DUPLICATE","UNIQUE"))</f>
        <v/>
      </c>
      <c r="V254" s="28">
        <f>IF(A254="","",IF(AND(B254&lt;&gt;"",C254&lt;&gt;"",D254&lt;&gt;"",E254&lt;&gt;"",F254&lt;&gt;"",G254&lt;&gt;"",H254&lt;&gt;"",J254&lt;&gt;"",K254&lt;&gt;"",L254&lt;&gt;"",M254&lt;&gt;"",O254&lt;&gt;"",P254&lt;&gt;"",R254&lt;&gt;""),"COMPLETE","MISSING FIELDS"))</f>
        <v/>
      </c>
    </row>
    <row r="255" ht="15" customHeight="1" s="1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8">
        <f>IF(A255="","",IF(COUNTIF($B$5:$B$304,B255)&gt;1,"DUPLICATE","UNIQUE"))</f>
        <v/>
      </c>
      <c r="V255" s="28">
        <f>IF(A255="","",IF(AND(B255&lt;&gt;"",C255&lt;&gt;"",D255&lt;&gt;"",E255&lt;&gt;"",F255&lt;&gt;"",G255&lt;&gt;"",H255&lt;&gt;"",J255&lt;&gt;"",K255&lt;&gt;"",L255&lt;&gt;"",M255&lt;&gt;"",O255&lt;&gt;"",P255&lt;&gt;"",R255&lt;&gt;""),"COMPLETE","MISSING FIELDS"))</f>
        <v/>
      </c>
    </row>
    <row r="256" ht="15" customHeight="1" s="15">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8">
        <f>IF(A256="","",IF(COUNTIF($B$5:$B$304,B256)&gt;1,"DUPLICATE","UNIQUE"))</f>
        <v/>
      </c>
      <c r="V256" s="28">
        <f>IF(A256="","",IF(AND(B256&lt;&gt;"",C256&lt;&gt;"",D256&lt;&gt;"",E256&lt;&gt;"",F256&lt;&gt;"",G256&lt;&gt;"",H256&lt;&gt;"",J256&lt;&gt;"",K256&lt;&gt;"",L256&lt;&gt;"",M256&lt;&gt;"",O256&lt;&gt;"",P256&lt;&gt;"",R256&lt;&gt;""),"COMPLETE","MISSING FIELDS"))</f>
        <v/>
      </c>
    </row>
    <row r="257" ht="15" customHeight="1" s="15">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8">
        <f>IF(A257="","",IF(COUNTIF($B$5:$B$304,B257)&gt;1,"DUPLICATE","UNIQUE"))</f>
        <v/>
      </c>
      <c r="V257" s="28">
        <f>IF(A257="","",IF(AND(B257&lt;&gt;"",C257&lt;&gt;"",D257&lt;&gt;"",E257&lt;&gt;"",F257&lt;&gt;"",G257&lt;&gt;"",H257&lt;&gt;"",J257&lt;&gt;"",K257&lt;&gt;"",L257&lt;&gt;"",M257&lt;&gt;"",O257&lt;&gt;"",P257&lt;&gt;"",R257&lt;&gt;""),"COMPLETE","MISSING FIELDS"))</f>
        <v/>
      </c>
    </row>
    <row r="258" ht="15" customHeight="1" s="15">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8">
        <f>IF(A258="","",IF(COUNTIF($B$5:$B$304,B258)&gt;1,"DUPLICATE","UNIQUE"))</f>
        <v/>
      </c>
      <c r="V258" s="28">
        <f>IF(A258="","",IF(AND(B258&lt;&gt;"",C258&lt;&gt;"",D258&lt;&gt;"",E258&lt;&gt;"",F258&lt;&gt;"",G258&lt;&gt;"",H258&lt;&gt;"",J258&lt;&gt;"",K258&lt;&gt;"",L258&lt;&gt;"",M258&lt;&gt;"",O258&lt;&gt;"",P258&lt;&gt;"",R258&lt;&gt;""),"COMPLETE","MISSING FIELDS"))</f>
        <v/>
      </c>
    </row>
    <row r="259" ht="15" customHeight="1" s="15">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8">
        <f>IF(A259="","",IF(COUNTIF($B$5:$B$304,B259)&gt;1,"DUPLICATE","UNIQUE"))</f>
        <v/>
      </c>
      <c r="V259" s="28">
        <f>IF(A259="","",IF(AND(B259&lt;&gt;"",C259&lt;&gt;"",D259&lt;&gt;"",E259&lt;&gt;"",F259&lt;&gt;"",G259&lt;&gt;"",H259&lt;&gt;"",J259&lt;&gt;"",K259&lt;&gt;"",L259&lt;&gt;"",M259&lt;&gt;"",O259&lt;&gt;"",P259&lt;&gt;"",R259&lt;&gt;""),"COMPLETE","MISSING FIELDS"))</f>
        <v/>
      </c>
    </row>
    <row r="260" ht="15" customHeight="1" s="15">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8">
        <f>IF(A260="","",IF(COUNTIF($B$5:$B$304,B260)&gt;1,"DUPLICATE","UNIQUE"))</f>
        <v/>
      </c>
      <c r="V260" s="28">
        <f>IF(A260="","",IF(AND(B260&lt;&gt;"",C260&lt;&gt;"",D260&lt;&gt;"",E260&lt;&gt;"",F260&lt;&gt;"",G260&lt;&gt;"",H260&lt;&gt;"",J260&lt;&gt;"",K260&lt;&gt;"",L260&lt;&gt;"",M260&lt;&gt;"",O260&lt;&gt;"",P260&lt;&gt;"",R260&lt;&gt;""),"COMPLETE","MISSING FIELDS"))</f>
        <v/>
      </c>
    </row>
    <row r="261" ht="15" customHeight="1" s="15">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8">
        <f>IF(A261="","",IF(COUNTIF($B$5:$B$304,B261)&gt;1,"DUPLICATE","UNIQUE"))</f>
        <v/>
      </c>
      <c r="V261" s="28">
        <f>IF(A261="","",IF(AND(B261&lt;&gt;"",C261&lt;&gt;"",D261&lt;&gt;"",E261&lt;&gt;"",F261&lt;&gt;"",G261&lt;&gt;"",H261&lt;&gt;"",J261&lt;&gt;"",K261&lt;&gt;"",L261&lt;&gt;"",M261&lt;&gt;"",O261&lt;&gt;"",P261&lt;&gt;"",R261&lt;&gt;""),"COMPLETE","MISSING FIELDS"))</f>
        <v/>
      </c>
    </row>
    <row r="262" ht="15" customHeight="1" s="15">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8">
        <f>IF(A262="","",IF(COUNTIF($B$5:$B$304,B262)&gt;1,"DUPLICATE","UNIQUE"))</f>
        <v/>
      </c>
      <c r="V262" s="28">
        <f>IF(A262="","",IF(AND(B262&lt;&gt;"",C262&lt;&gt;"",D262&lt;&gt;"",E262&lt;&gt;"",F262&lt;&gt;"",G262&lt;&gt;"",H262&lt;&gt;"",J262&lt;&gt;"",K262&lt;&gt;"",L262&lt;&gt;"",M262&lt;&gt;"",O262&lt;&gt;"",P262&lt;&gt;"",R262&lt;&gt;""),"COMPLETE","MISSING FIELDS"))</f>
        <v/>
      </c>
    </row>
    <row r="263" ht="15" customHeight="1" s="15">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8">
        <f>IF(A263="","",IF(COUNTIF($B$5:$B$304,B263)&gt;1,"DUPLICATE","UNIQUE"))</f>
        <v/>
      </c>
      <c r="V263" s="28">
        <f>IF(A263="","",IF(AND(B263&lt;&gt;"",C263&lt;&gt;"",D263&lt;&gt;"",E263&lt;&gt;"",F263&lt;&gt;"",G263&lt;&gt;"",H263&lt;&gt;"",J263&lt;&gt;"",K263&lt;&gt;"",L263&lt;&gt;"",M263&lt;&gt;"",O263&lt;&gt;"",P263&lt;&gt;"",R263&lt;&gt;""),"COMPLETE","MISSING FIELDS"))</f>
        <v/>
      </c>
    </row>
    <row r="264" ht="15" customHeight="1" s="15">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8">
        <f>IF(A264="","",IF(COUNTIF($B$5:$B$304,B264)&gt;1,"DUPLICATE","UNIQUE"))</f>
        <v/>
      </c>
      <c r="V264" s="28">
        <f>IF(A264="","",IF(AND(B264&lt;&gt;"",C264&lt;&gt;"",D264&lt;&gt;"",E264&lt;&gt;"",F264&lt;&gt;"",G264&lt;&gt;"",H264&lt;&gt;"",J264&lt;&gt;"",K264&lt;&gt;"",L264&lt;&gt;"",M264&lt;&gt;"",O264&lt;&gt;"",P264&lt;&gt;"",R264&lt;&gt;""),"COMPLETE","MISSING FIELDS"))</f>
        <v/>
      </c>
    </row>
    <row r="265" ht="15" customHeight="1" s="1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8">
        <f>IF(A265="","",IF(COUNTIF($B$5:$B$304,B265)&gt;1,"DUPLICATE","UNIQUE"))</f>
        <v/>
      </c>
      <c r="V265" s="28">
        <f>IF(A265="","",IF(AND(B265&lt;&gt;"",C265&lt;&gt;"",D265&lt;&gt;"",E265&lt;&gt;"",F265&lt;&gt;"",G265&lt;&gt;"",H265&lt;&gt;"",J265&lt;&gt;"",K265&lt;&gt;"",L265&lt;&gt;"",M265&lt;&gt;"",O265&lt;&gt;"",P265&lt;&gt;"",R265&lt;&gt;""),"COMPLETE","MISSING FIELDS"))</f>
        <v/>
      </c>
    </row>
    <row r="266" ht="15" customHeight="1" s="15">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8">
        <f>IF(A266="","",IF(COUNTIF($B$5:$B$304,B266)&gt;1,"DUPLICATE","UNIQUE"))</f>
        <v/>
      </c>
      <c r="V266" s="28">
        <f>IF(A266="","",IF(AND(B266&lt;&gt;"",C266&lt;&gt;"",D266&lt;&gt;"",E266&lt;&gt;"",F266&lt;&gt;"",G266&lt;&gt;"",H266&lt;&gt;"",J266&lt;&gt;"",K266&lt;&gt;"",L266&lt;&gt;"",M266&lt;&gt;"",O266&lt;&gt;"",P266&lt;&gt;"",R266&lt;&gt;""),"COMPLETE","MISSING FIELDS"))</f>
        <v/>
      </c>
    </row>
    <row r="267" ht="15" customHeight="1" s="15">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8">
        <f>IF(A267="","",IF(COUNTIF($B$5:$B$304,B267)&gt;1,"DUPLICATE","UNIQUE"))</f>
        <v/>
      </c>
      <c r="V267" s="28">
        <f>IF(A267="","",IF(AND(B267&lt;&gt;"",C267&lt;&gt;"",D267&lt;&gt;"",E267&lt;&gt;"",F267&lt;&gt;"",G267&lt;&gt;"",H267&lt;&gt;"",J267&lt;&gt;"",K267&lt;&gt;"",L267&lt;&gt;"",M267&lt;&gt;"",O267&lt;&gt;"",P267&lt;&gt;"",R267&lt;&gt;""),"COMPLETE","MISSING FIELDS"))</f>
        <v/>
      </c>
    </row>
    <row r="268" ht="15" customHeight="1" s="15">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8">
        <f>IF(A268="","",IF(COUNTIF($B$5:$B$304,B268)&gt;1,"DUPLICATE","UNIQUE"))</f>
        <v/>
      </c>
      <c r="V268" s="28">
        <f>IF(A268="","",IF(AND(B268&lt;&gt;"",C268&lt;&gt;"",D268&lt;&gt;"",E268&lt;&gt;"",F268&lt;&gt;"",G268&lt;&gt;"",H268&lt;&gt;"",J268&lt;&gt;"",K268&lt;&gt;"",L268&lt;&gt;"",M268&lt;&gt;"",O268&lt;&gt;"",P268&lt;&gt;"",R268&lt;&gt;""),"COMPLETE","MISSING FIELDS"))</f>
        <v/>
      </c>
    </row>
    <row r="269" ht="15" customHeight="1" s="15">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8">
        <f>IF(A269="","",IF(COUNTIF($B$5:$B$304,B269)&gt;1,"DUPLICATE","UNIQUE"))</f>
        <v/>
      </c>
      <c r="V269" s="28">
        <f>IF(A269="","",IF(AND(B269&lt;&gt;"",C269&lt;&gt;"",D269&lt;&gt;"",E269&lt;&gt;"",F269&lt;&gt;"",G269&lt;&gt;"",H269&lt;&gt;"",J269&lt;&gt;"",K269&lt;&gt;"",L269&lt;&gt;"",M269&lt;&gt;"",O269&lt;&gt;"",P269&lt;&gt;"",R269&lt;&gt;""),"COMPLETE","MISSING FIELDS"))</f>
        <v/>
      </c>
    </row>
    <row r="270" ht="15" customHeight="1" s="15">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8">
        <f>IF(A270="","",IF(COUNTIF($B$5:$B$304,B270)&gt;1,"DUPLICATE","UNIQUE"))</f>
        <v/>
      </c>
      <c r="V270" s="28">
        <f>IF(A270="","",IF(AND(B270&lt;&gt;"",C270&lt;&gt;"",D270&lt;&gt;"",E270&lt;&gt;"",F270&lt;&gt;"",G270&lt;&gt;"",H270&lt;&gt;"",J270&lt;&gt;"",K270&lt;&gt;"",L270&lt;&gt;"",M270&lt;&gt;"",O270&lt;&gt;"",P270&lt;&gt;"",R270&lt;&gt;""),"COMPLETE","MISSING FIELDS"))</f>
        <v/>
      </c>
    </row>
    <row r="271" ht="15" customHeight="1" s="15">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8">
        <f>IF(A271="","",IF(COUNTIF($B$5:$B$304,B271)&gt;1,"DUPLICATE","UNIQUE"))</f>
        <v/>
      </c>
      <c r="V271" s="28">
        <f>IF(A271="","",IF(AND(B271&lt;&gt;"",C271&lt;&gt;"",D271&lt;&gt;"",E271&lt;&gt;"",F271&lt;&gt;"",G271&lt;&gt;"",H271&lt;&gt;"",J271&lt;&gt;"",K271&lt;&gt;"",L271&lt;&gt;"",M271&lt;&gt;"",O271&lt;&gt;"",P271&lt;&gt;"",R271&lt;&gt;""),"COMPLETE","MISSING FIELDS"))</f>
        <v/>
      </c>
    </row>
    <row r="272" ht="15" customHeight="1" s="15">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8">
        <f>IF(A272="","",IF(COUNTIF($B$5:$B$304,B272)&gt;1,"DUPLICATE","UNIQUE"))</f>
        <v/>
      </c>
      <c r="V272" s="28">
        <f>IF(A272="","",IF(AND(B272&lt;&gt;"",C272&lt;&gt;"",D272&lt;&gt;"",E272&lt;&gt;"",F272&lt;&gt;"",G272&lt;&gt;"",H272&lt;&gt;"",J272&lt;&gt;"",K272&lt;&gt;"",L272&lt;&gt;"",M272&lt;&gt;"",O272&lt;&gt;"",P272&lt;&gt;"",R272&lt;&gt;""),"COMPLETE","MISSING FIELDS"))</f>
        <v/>
      </c>
    </row>
    <row r="273" ht="15" customHeight="1" s="15">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8">
        <f>IF(A273="","",IF(COUNTIF($B$5:$B$304,B273)&gt;1,"DUPLICATE","UNIQUE"))</f>
        <v/>
      </c>
      <c r="V273" s="28">
        <f>IF(A273="","",IF(AND(B273&lt;&gt;"",C273&lt;&gt;"",D273&lt;&gt;"",E273&lt;&gt;"",F273&lt;&gt;"",G273&lt;&gt;"",H273&lt;&gt;"",J273&lt;&gt;"",K273&lt;&gt;"",L273&lt;&gt;"",M273&lt;&gt;"",O273&lt;&gt;"",P273&lt;&gt;"",R273&lt;&gt;""),"COMPLETE","MISSING FIELDS"))</f>
        <v/>
      </c>
    </row>
    <row r="274" ht="15" customHeight="1" s="15">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8">
        <f>IF(A274="","",IF(COUNTIF($B$5:$B$304,B274)&gt;1,"DUPLICATE","UNIQUE"))</f>
        <v/>
      </c>
      <c r="V274" s="28">
        <f>IF(A274="","",IF(AND(B274&lt;&gt;"",C274&lt;&gt;"",D274&lt;&gt;"",E274&lt;&gt;"",F274&lt;&gt;"",G274&lt;&gt;"",H274&lt;&gt;"",J274&lt;&gt;"",K274&lt;&gt;"",L274&lt;&gt;"",M274&lt;&gt;"",O274&lt;&gt;"",P274&lt;&gt;"",R274&lt;&gt;""),"COMPLETE","MISSING FIELDS"))</f>
        <v/>
      </c>
    </row>
    <row r="275" ht="15" customHeight="1" s="1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8">
        <f>IF(A275="","",IF(COUNTIF($B$5:$B$304,B275)&gt;1,"DUPLICATE","UNIQUE"))</f>
        <v/>
      </c>
      <c r="V275" s="28">
        <f>IF(A275="","",IF(AND(B275&lt;&gt;"",C275&lt;&gt;"",D275&lt;&gt;"",E275&lt;&gt;"",F275&lt;&gt;"",G275&lt;&gt;"",H275&lt;&gt;"",J275&lt;&gt;"",K275&lt;&gt;"",L275&lt;&gt;"",M275&lt;&gt;"",O275&lt;&gt;"",P275&lt;&gt;"",R275&lt;&gt;""),"COMPLETE","MISSING FIELDS"))</f>
        <v/>
      </c>
    </row>
    <row r="276" ht="15" customHeight="1" s="15">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8">
        <f>IF(A276="","",IF(COUNTIF($B$5:$B$304,B276)&gt;1,"DUPLICATE","UNIQUE"))</f>
        <v/>
      </c>
      <c r="V276" s="28">
        <f>IF(A276="","",IF(AND(B276&lt;&gt;"",C276&lt;&gt;"",D276&lt;&gt;"",E276&lt;&gt;"",F276&lt;&gt;"",G276&lt;&gt;"",H276&lt;&gt;"",J276&lt;&gt;"",K276&lt;&gt;"",L276&lt;&gt;"",M276&lt;&gt;"",O276&lt;&gt;"",P276&lt;&gt;"",R276&lt;&gt;""),"COMPLETE","MISSING FIELDS"))</f>
        <v/>
      </c>
    </row>
    <row r="277" ht="15" customHeight="1" s="15">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8">
        <f>IF(A277="","",IF(COUNTIF($B$5:$B$304,B277)&gt;1,"DUPLICATE","UNIQUE"))</f>
        <v/>
      </c>
      <c r="V277" s="28">
        <f>IF(A277="","",IF(AND(B277&lt;&gt;"",C277&lt;&gt;"",D277&lt;&gt;"",E277&lt;&gt;"",F277&lt;&gt;"",G277&lt;&gt;"",H277&lt;&gt;"",J277&lt;&gt;"",K277&lt;&gt;"",L277&lt;&gt;"",M277&lt;&gt;"",O277&lt;&gt;"",P277&lt;&gt;"",R277&lt;&gt;""),"COMPLETE","MISSING FIELDS"))</f>
        <v/>
      </c>
    </row>
    <row r="278" ht="15" customHeight="1" s="15">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8">
        <f>IF(A278="","",IF(COUNTIF($B$5:$B$304,B278)&gt;1,"DUPLICATE","UNIQUE"))</f>
        <v/>
      </c>
      <c r="V278" s="28">
        <f>IF(A278="","",IF(AND(B278&lt;&gt;"",C278&lt;&gt;"",D278&lt;&gt;"",E278&lt;&gt;"",F278&lt;&gt;"",G278&lt;&gt;"",H278&lt;&gt;"",J278&lt;&gt;"",K278&lt;&gt;"",L278&lt;&gt;"",M278&lt;&gt;"",O278&lt;&gt;"",P278&lt;&gt;"",R278&lt;&gt;""),"COMPLETE","MISSING FIELDS"))</f>
        <v/>
      </c>
    </row>
    <row r="279" ht="15" customHeight="1" s="15">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8">
        <f>IF(A279="","",IF(COUNTIF($B$5:$B$304,B279)&gt;1,"DUPLICATE","UNIQUE"))</f>
        <v/>
      </c>
      <c r="V279" s="28">
        <f>IF(A279="","",IF(AND(B279&lt;&gt;"",C279&lt;&gt;"",D279&lt;&gt;"",E279&lt;&gt;"",F279&lt;&gt;"",G279&lt;&gt;"",H279&lt;&gt;"",J279&lt;&gt;"",K279&lt;&gt;"",L279&lt;&gt;"",M279&lt;&gt;"",O279&lt;&gt;"",P279&lt;&gt;"",R279&lt;&gt;""),"COMPLETE","MISSING FIELDS"))</f>
        <v/>
      </c>
    </row>
    <row r="280" ht="15" customHeight="1" s="15">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8">
        <f>IF(A280="","",IF(COUNTIF($B$5:$B$304,B280)&gt;1,"DUPLICATE","UNIQUE"))</f>
        <v/>
      </c>
      <c r="V280" s="28">
        <f>IF(A280="","",IF(AND(B280&lt;&gt;"",C280&lt;&gt;"",D280&lt;&gt;"",E280&lt;&gt;"",F280&lt;&gt;"",G280&lt;&gt;"",H280&lt;&gt;"",J280&lt;&gt;"",K280&lt;&gt;"",L280&lt;&gt;"",M280&lt;&gt;"",O280&lt;&gt;"",P280&lt;&gt;"",R280&lt;&gt;""),"COMPLETE","MISSING FIELDS"))</f>
        <v/>
      </c>
    </row>
    <row r="281" ht="15" customHeight="1" s="15">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8">
        <f>IF(A281="","",IF(COUNTIF($B$5:$B$304,B281)&gt;1,"DUPLICATE","UNIQUE"))</f>
        <v/>
      </c>
      <c r="V281" s="28">
        <f>IF(A281="","",IF(AND(B281&lt;&gt;"",C281&lt;&gt;"",D281&lt;&gt;"",E281&lt;&gt;"",F281&lt;&gt;"",G281&lt;&gt;"",H281&lt;&gt;"",J281&lt;&gt;"",K281&lt;&gt;"",L281&lt;&gt;"",M281&lt;&gt;"",O281&lt;&gt;"",P281&lt;&gt;"",R281&lt;&gt;""),"COMPLETE","MISSING FIELDS"))</f>
        <v/>
      </c>
    </row>
    <row r="282" ht="15" customHeight="1" s="15">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8">
        <f>IF(A282="","",IF(COUNTIF($B$5:$B$304,B282)&gt;1,"DUPLICATE","UNIQUE"))</f>
        <v/>
      </c>
      <c r="V282" s="28">
        <f>IF(A282="","",IF(AND(B282&lt;&gt;"",C282&lt;&gt;"",D282&lt;&gt;"",E282&lt;&gt;"",F282&lt;&gt;"",G282&lt;&gt;"",H282&lt;&gt;"",J282&lt;&gt;"",K282&lt;&gt;"",L282&lt;&gt;"",M282&lt;&gt;"",O282&lt;&gt;"",P282&lt;&gt;"",R282&lt;&gt;""),"COMPLETE","MISSING FIELDS"))</f>
        <v/>
      </c>
    </row>
    <row r="283" ht="15" customHeight="1" s="15">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8">
        <f>IF(A283="","",IF(COUNTIF($B$5:$B$304,B283)&gt;1,"DUPLICATE","UNIQUE"))</f>
        <v/>
      </c>
      <c r="V283" s="28">
        <f>IF(A283="","",IF(AND(B283&lt;&gt;"",C283&lt;&gt;"",D283&lt;&gt;"",E283&lt;&gt;"",F283&lt;&gt;"",G283&lt;&gt;"",H283&lt;&gt;"",J283&lt;&gt;"",K283&lt;&gt;"",L283&lt;&gt;"",M283&lt;&gt;"",O283&lt;&gt;"",P283&lt;&gt;"",R283&lt;&gt;""),"COMPLETE","MISSING FIELDS"))</f>
        <v/>
      </c>
    </row>
    <row r="284" ht="15" customHeight="1" s="15">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8">
        <f>IF(A284="","",IF(COUNTIF($B$5:$B$304,B284)&gt;1,"DUPLICATE","UNIQUE"))</f>
        <v/>
      </c>
      <c r="V284" s="28">
        <f>IF(A284="","",IF(AND(B284&lt;&gt;"",C284&lt;&gt;"",D284&lt;&gt;"",E284&lt;&gt;"",F284&lt;&gt;"",G284&lt;&gt;"",H284&lt;&gt;"",J284&lt;&gt;"",K284&lt;&gt;"",L284&lt;&gt;"",M284&lt;&gt;"",O284&lt;&gt;"",P284&lt;&gt;"",R284&lt;&gt;""),"COMPLETE","MISSING FIELDS"))</f>
        <v/>
      </c>
    </row>
    <row r="285" ht="15" customHeight="1" s="1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8">
        <f>IF(A285="","",IF(COUNTIF($B$5:$B$304,B285)&gt;1,"DUPLICATE","UNIQUE"))</f>
        <v/>
      </c>
      <c r="V285" s="28">
        <f>IF(A285="","",IF(AND(B285&lt;&gt;"",C285&lt;&gt;"",D285&lt;&gt;"",E285&lt;&gt;"",F285&lt;&gt;"",G285&lt;&gt;"",H285&lt;&gt;"",J285&lt;&gt;"",K285&lt;&gt;"",L285&lt;&gt;"",M285&lt;&gt;"",O285&lt;&gt;"",P285&lt;&gt;"",R285&lt;&gt;""),"COMPLETE","MISSING FIELDS"))</f>
        <v/>
      </c>
    </row>
    <row r="286" ht="15" customHeight="1" s="15">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8">
        <f>IF(A286="","",IF(COUNTIF($B$5:$B$304,B286)&gt;1,"DUPLICATE","UNIQUE"))</f>
        <v/>
      </c>
      <c r="V286" s="28">
        <f>IF(A286="","",IF(AND(B286&lt;&gt;"",C286&lt;&gt;"",D286&lt;&gt;"",E286&lt;&gt;"",F286&lt;&gt;"",G286&lt;&gt;"",H286&lt;&gt;"",J286&lt;&gt;"",K286&lt;&gt;"",L286&lt;&gt;"",M286&lt;&gt;"",O286&lt;&gt;"",P286&lt;&gt;"",R286&lt;&gt;""),"COMPLETE","MISSING FIELDS"))</f>
        <v/>
      </c>
    </row>
    <row r="287" ht="15" customHeight="1" s="15">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8">
        <f>IF(A287="","",IF(COUNTIF($B$5:$B$304,B287)&gt;1,"DUPLICATE","UNIQUE"))</f>
        <v/>
      </c>
      <c r="V287" s="28">
        <f>IF(A287="","",IF(AND(B287&lt;&gt;"",C287&lt;&gt;"",D287&lt;&gt;"",E287&lt;&gt;"",F287&lt;&gt;"",G287&lt;&gt;"",H287&lt;&gt;"",J287&lt;&gt;"",K287&lt;&gt;"",L287&lt;&gt;"",M287&lt;&gt;"",O287&lt;&gt;"",P287&lt;&gt;"",R287&lt;&gt;""),"COMPLETE","MISSING FIELDS"))</f>
        <v/>
      </c>
    </row>
    <row r="288" ht="15" customHeight="1" s="15">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8">
        <f>IF(A288="","",IF(COUNTIF($B$5:$B$304,B288)&gt;1,"DUPLICATE","UNIQUE"))</f>
        <v/>
      </c>
      <c r="V288" s="28">
        <f>IF(A288="","",IF(AND(B288&lt;&gt;"",C288&lt;&gt;"",D288&lt;&gt;"",E288&lt;&gt;"",F288&lt;&gt;"",G288&lt;&gt;"",H288&lt;&gt;"",J288&lt;&gt;"",K288&lt;&gt;"",L288&lt;&gt;"",M288&lt;&gt;"",O288&lt;&gt;"",P288&lt;&gt;"",R288&lt;&gt;""),"COMPLETE","MISSING FIELDS"))</f>
        <v/>
      </c>
    </row>
    <row r="289" ht="15" customHeight="1" s="15">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8">
        <f>IF(A289="","",IF(COUNTIF($B$5:$B$304,B289)&gt;1,"DUPLICATE","UNIQUE"))</f>
        <v/>
      </c>
      <c r="V289" s="28">
        <f>IF(A289="","",IF(AND(B289&lt;&gt;"",C289&lt;&gt;"",D289&lt;&gt;"",E289&lt;&gt;"",F289&lt;&gt;"",G289&lt;&gt;"",H289&lt;&gt;"",J289&lt;&gt;"",K289&lt;&gt;"",L289&lt;&gt;"",M289&lt;&gt;"",O289&lt;&gt;"",P289&lt;&gt;"",R289&lt;&gt;""),"COMPLETE","MISSING FIELDS"))</f>
        <v/>
      </c>
    </row>
    <row r="290" ht="15" customHeight="1" s="15">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8">
        <f>IF(A290="","",IF(COUNTIF($B$5:$B$304,B290)&gt;1,"DUPLICATE","UNIQUE"))</f>
        <v/>
      </c>
      <c r="V290" s="28">
        <f>IF(A290="","",IF(AND(B290&lt;&gt;"",C290&lt;&gt;"",D290&lt;&gt;"",E290&lt;&gt;"",F290&lt;&gt;"",G290&lt;&gt;"",H290&lt;&gt;"",J290&lt;&gt;"",K290&lt;&gt;"",L290&lt;&gt;"",M290&lt;&gt;"",O290&lt;&gt;"",P290&lt;&gt;"",R290&lt;&gt;""),"COMPLETE","MISSING FIELDS"))</f>
        <v/>
      </c>
    </row>
    <row r="291" ht="15" customHeight="1" s="15">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8">
        <f>IF(A291="","",IF(COUNTIF($B$5:$B$304,B291)&gt;1,"DUPLICATE","UNIQUE"))</f>
        <v/>
      </c>
      <c r="V291" s="28">
        <f>IF(A291="","",IF(AND(B291&lt;&gt;"",C291&lt;&gt;"",D291&lt;&gt;"",E291&lt;&gt;"",F291&lt;&gt;"",G291&lt;&gt;"",H291&lt;&gt;"",J291&lt;&gt;"",K291&lt;&gt;"",L291&lt;&gt;"",M291&lt;&gt;"",O291&lt;&gt;"",P291&lt;&gt;"",R291&lt;&gt;""),"COMPLETE","MISSING FIELDS"))</f>
        <v/>
      </c>
    </row>
    <row r="292" ht="15" customHeight="1" s="15">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8">
        <f>IF(A292="","",IF(COUNTIF($B$5:$B$304,B292)&gt;1,"DUPLICATE","UNIQUE"))</f>
        <v/>
      </c>
      <c r="V292" s="28">
        <f>IF(A292="","",IF(AND(B292&lt;&gt;"",C292&lt;&gt;"",D292&lt;&gt;"",E292&lt;&gt;"",F292&lt;&gt;"",G292&lt;&gt;"",H292&lt;&gt;"",J292&lt;&gt;"",K292&lt;&gt;"",L292&lt;&gt;"",M292&lt;&gt;"",O292&lt;&gt;"",P292&lt;&gt;"",R292&lt;&gt;""),"COMPLETE","MISSING FIELDS"))</f>
        <v/>
      </c>
    </row>
    <row r="293" ht="15" customHeight="1" s="15">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8">
        <f>IF(A293="","",IF(COUNTIF($B$5:$B$304,B293)&gt;1,"DUPLICATE","UNIQUE"))</f>
        <v/>
      </c>
      <c r="V293" s="28">
        <f>IF(A293="","",IF(AND(B293&lt;&gt;"",C293&lt;&gt;"",D293&lt;&gt;"",E293&lt;&gt;"",F293&lt;&gt;"",G293&lt;&gt;"",H293&lt;&gt;"",J293&lt;&gt;"",K293&lt;&gt;"",L293&lt;&gt;"",M293&lt;&gt;"",O293&lt;&gt;"",P293&lt;&gt;"",R293&lt;&gt;""),"COMPLETE","MISSING FIELDS"))</f>
        <v/>
      </c>
    </row>
    <row r="294" ht="15" customHeight="1" s="15">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8">
        <f>IF(A294="","",IF(COUNTIF($B$5:$B$304,B294)&gt;1,"DUPLICATE","UNIQUE"))</f>
        <v/>
      </c>
      <c r="V294" s="28">
        <f>IF(A294="","",IF(AND(B294&lt;&gt;"",C294&lt;&gt;"",D294&lt;&gt;"",E294&lt;&gt;"",F294&lt;&gt;"",G294&lt;&gt;"",H294&lt;&gt;"",J294&lt;&gt;"",K294&lt;&gt;"",L294&lt;&gt;"",M294&lt;&gt;"",O294&lt;&gt;"",P294&lt;&gt;"",R294&lt;&gt;""),"COMPLETE","MISSING FIELDS"))</f>
        <v/>
      </c>
    </row>
    <row r="295" ht="15" customHeight="1" s="1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8">
        <f>IF(A295="","",IF(COUNTIF($B$5:$B$304,B295)&gt;1,"DUPLICATE","UNIQUE"))</f>
        <v/>
      </c>
      <c r="V295" s="28">
        <f>IF(A295="","",IF(AND(B295&lt;&gt;"",C295&lt;&gt;"",D295&lt;&gt;"",E295&lt;&gt;"",F295&lt;&gt;"",G295&lt;&gt;"",H295&lt;&gt;"",J295&lt;&gt;"",K295&lt;&gt;"",L295&lt;&gt;"",M295&lt;&gt;"",O295&lt;&gt;"",P295&lt;&gt;"",R295&lt;&gt;""),"COMPLETE","MISSING FIELDS"))</f>
        <v/>
      </c>
    </row>
    <row r="296" ht="15" customHeight="1" s="15">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8">
        <f>IF(A296="","",IF(COUNTIF($B$5:$B$304,B296)&gt;1,"DUPLICATE","UNIQUE"))</f>
        <v/>
      </c>
      <c r="V296" s="28">
        <f>IF(A296="","",IF(AND(B296&lt;&gt;"",C296&lt;&gt;"",D296&lt;&gt;"",E296&lt;&gt;"",F296&lt;&gt;"",G296&lt;&gt;"",H296&lt;&gt;"",J296&lt;&gt;"",K296&lt;&gt;"",L296&lt;&gt;"",M296&lt;&gt;"",O296&lt;&gt;"",P296&lt;&gt;"",R296&lt;&gt;""),"COMPLETE","MISSING FIELDS"))</f>
        <v/>
      </c>
    </row>
    <row r="297" ht="15" customHeight="1" s="15">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8">
        <f>IF(A297="","",IF(COUNTIF($B$5:$B$304,B297)&gt;1,"DUPLICATE","UNIQUE"))</f>
        <v/>
      </c>
      <c r="V297" s="28">
        <f>IF(A297="","",IF(AND(B297&lt;&gt;"",C297&lt;&gt;"",D297&lt;&gt;"",E297&lt;&gt;"",F297&lt;&gt;"",G297&lt;&gt;"",H297&lt;&gt;"",J297&lt;&gt;"",K297&lt;&gt;"",L297&lt;&gt;"",M297&lt;&gt;"",O297&lt;&gt;"",P297&lt;&gt;"",R297&lt;&gt;""),"COMPLETE","MISSING FIELDS"))</f>
        <v/>
      </c>
    </row>
    <row r="298" ht="15" customHeight="1" s="15">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8">
        <f>IF(A298="","",IF(COUNTIF($B$5:$B$304,B298)&gt;1,"DUPLICATE","UNIQUE"))</f>
        <v/>
      </c>
      <c r="V298" s="28">
        <f>IF(A298="","",IF(AND(B298&lt;&gt;"",C298&lt;&gt;"",D298&lt;&gt;"",E298&lt;&gt;"",F298&lt;&gt;"",G298&lt;&gt;"",H298&lt;&gt;"",J298&lt;&gt;"",K298&lt;&gt;"",L298&lt;&gt;"",M298&lt;&gt;"",O298&lt;&gt;"",P298&lt;&gt;"",R298&lt;&gt;""),"COMPLETE","MISSING FIELDS"))</f>
        <v/>
      </c>
    </row>
    <row r="299" ht="15" customHeight="1" s="15">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8">
        <f>IF(A299="","",IF(COUNTIF($B$5:$B$304,B299)&gt;1,"DUPLICATE","UNIQUE"))</f>
        <v/>
      </c>
      <c r="V299" s="28">
        <f>IF(A299="","",IF(AND(B299&lt;&gt;"",C299&lt;&gt;"",D299&lt;&gt;"",E299&lt;&gt;"",F299&lt;&gt;"",G299&lt;&gt;"",H299&lt;&gt;"",J299&lt;&gt;"",K299&lt;&gt;"",L299&lt;&gt;"",M299&lt;&gt;"",O299&lt;&gt;"",P299&lt;&gt;"",R299&lt;&gt;""),"COMPLETE","MISSING FIELDS"))</f>
        <v/>
      </c>
    </row>
    <row r="300" ht="15" customHeight="1" s="15">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8">
        <f>IF(A300="","",IF(COUNTIF($B$5:$B$304,B300)&gt;1,"DUPLICATE","UNIQUE"))</f>
        <v/>
      </c>
      <c r="V300" s="28">
        <f>IF(A300="","",IF(AND(B300&lt;&gt;"",C300&lt;&gt;"",D300&lt;&gt;"",E300&lt;&gt;"",F300&lt;&gt;"",G300&lt;&gt;"",H300&lt;&gt;"",J300&lt;&gt;"",K300&lt;&gt;"",L300&lt;&gt;"",M300&lt;&gt;"",O300&lt;&gt;"",P300&lt;&gt;"",R300&lt;&gt;""),"COMPLETE","MISSING FIELDS"))</f>
        <v/>
      </c>
    </row>
    <row r="301" ht="15" customHeight="1" s="15">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8">
        <f>IF(A301="","",IF(COUNTIF($B$5:$B$304,B301)&gt;1,"DUPLICATE","UNIQUE"))</f>
        <v/>
      </c>
      <c r="V301" s="28">
        <f>IF(A301="","",IF(AND(B301&lt;&gt;"",C301&lt;&gt;"",D301&lt;&gt;"",E301&lt;&gt;"",F301&lt;&gt;"",G301&lt;&gt;"",H301&lt;&gt;"",J301&lt;&gt;"",K301&lt;&gt;"",L301&lt;&gt;"",M301&lt;&gt;"",O301&lt;&gt;"",P301&lt;&gt;"",R301&lt;&gt;""),"COMPLETE","MISSING FIELDS"))</f>
        <v/>
      </c>
    </row>
    <row r="302" ht="15" customHeight="1" s="15">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8">
        <f>IF(A302="","",IF(COUNTIF($B$5:$B$304,B302)&gt;1,"DUPLICATE","UNIQUE"))</f>
        <v/>
      </c>
      <c r="V302" s="28">
        <f>IF(A302="","",IF(AND(B302&lt;&gt;"",C302&lt;&gt;"",D302&lt;&gt;"",E302&lt;&gt;"",F302&lt;&gt;"",G302&lt;&gt;"",H302&lt;&gt;"",J302&lt;&gt;"",K302&lt;&gt;"",L302&lt;&gt;"",M302&lt;&gt;"",O302&lt;&gt;"",P302&lt;&gt;"",R302&lt;&gt;""),"COMPLETE","MISSING FIELDS"))</f>
        <v/>
      </c>
    </row>
    <row r="303" ht="15" customHeight="1" s="15">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8">
        <f>IF(A303="","",IF(COUNTIF($B$5:$B$304,B303)&gt;1,"DUPLICATE","UNIQUE"))</f>
        <v/>
      </c>
      <c r="V303" s="28">
        <f>IF(A303="","",IF(AND(B303&lt;&gt;"",C303&lt;&gt;"",D303&lt;&gt;"",E303&lt;&gt;"",F303&lt;&gt;"",G303&lt;&gt;"",H303&lt;&gt;"",J303&lt;&gt;"",K303&lt;&gt;"",L303&lt;&gt;"",M303&lt;&gt;"",O303&lt;&gt;"",P303&lt;&gt;"",R303&lt;&gt;""),"COMPLETE","MISSING FIELDS"))</f>
        <v/>
      </c>
    </row>
    <row r="304" ht="15" customHeight="1" s="15">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8">
        <f>IF(A304="","",IF(COUNTIF($B$5:$B$304,B304)&gt;1,"DUPLICATE","UNIQUE"))</f>
        <v/>
      </c>
      <c r="V304" s="28">
        <f>IF(A304="","",IF(AND(B304&lt;&gt;"",C304&lt;&gt;"",D304&lt;&gt;"",E304&lt;&gt;"",F304&lt;&gt;"",G304&lt;&gt;"",H304&lt;&gt;"",J304&lt;&gt;"",K304&lt;&gt;"",L304&lt;&gt;"",M304&lt;&gt;"",O304&lt;&gt;"",P304&lt;&gt;"",R304&lt;&gt;""),"COMPLETE","MISSING FIELDS"))</f>
        <v/>
      </c>
    </row>
  </sheetData>
  <mergeCells count="2">
    <mergeCell ref="A2:V2"/>
    <mergeCell ref="A1:V1"/>
  </mergeCells>
  <conditionalFormatting sqref="U5:V304">
    <cfRule type="expression" rank="0" priority="2" equalAverage="0" aboveAverage="0" dxfId="0" text="" percent="0" bottom="0">
      <formula>OR(U5="DUPLICATE",V5="MISSING FIELDS",V5="ADD REASON")</formula>
    </cfRule>
  </conditionalFormatting>
  <dataValidations count="9">
    <dataValidation sqref="C5:C304" showDropDown="0" showInputMessage="0" showErrorMessage="0" allowBlank="1" type="list" errorStyle="stop" operator="between">
      <formula1>"Informational,Comparison,Transactional,Navigational"</formula1>
      <formula2>0</formula2>
    </dataValidation>
    <dataValidation sqref="F5:F304" showDropDown="0" showInputMessage="0" showErrorMessage="0" allowBlank="1" type="list" errorStyle="stop" operator="between">
      <formula1>"US,GB,CA,AU,IN,SG,Other"</formula1>
      <formula2>0</formula2>
    </dataValidation>
    <dataValidation sqref="H5:H304" showDropDown="0" showInputMessage="0" showErrorMessage="0" allowBlank="1" type="list" errorStyle="stop" operator="between">
      <formula1>"Answer box,AI Overview,Both,None"</formula1>
      <formula2>0</formula2>
    </dataValidation>
    <dataValidation sqref="J5:J304" showDropDown="0" showInputMessage="0" showErrorMessage="0" allowBlank="1" type="list" errorStyle="stop" operator="between">
      <formula1>"Cited,Mentioned,Not mentioned"</formula1>
      <formula2>0</formula2>
    </dataValidation>
    <dataValidation sqref="K5:K304" showDropDown="0" showInputMessage="0" showErrorMessage="0" allowBlank="1" type="list" errorStyle="stop" operator="between">
      <formula1>"Cited,Mentioned,Not mentioned"</formula1>
      <formula2>0</formula2>
    </dataValidation>
    <dataValidation sqref="L5:L304" showDropDown="0" showInputMessage="0" showErrorMessage="0" allowBlank="1" type="list" errorStyle="stop" operator="between">
      <formula1>"Cited,Mentioned,Not mentioned"</formula1>
      <formula2>0</formula2>
    </dataValidation>
    <dataValidation sqref="M5:M304" showDropDown="0" showInputMessage="0" showErrorMessage="0" allowBlank="1" type="list" errorStyle="stop" operator="between">
      <formula1>"Cited,Mentioned,Not mentioned"</formula1>
      <formula2>0</formula2>
    </dataValidation>
    <dataValidation sqref="Q5:Q304" showDropDown="0" showInputMessage="0" showErrorMessage="0" allowBlank="1" type="list" errorStyle="stop" operator="between">
      <formula1>"Yes,No"</formula1>
      <formula2>0</formula2>
    </dataValidation>
    <dataValidation sqref="S5:S30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0" customWidth="1" style="14" min="1" max="1"/>
    <col width="30" customWidth="1" style="14" min="2" max="2"/>
    <col width="34" customWidth="1" style="14" min="3" max="3"/>
    <col width="30" customWidth="1" style="14" min="4" max="4"/>
    <col width="34" customWidth="1" style="14" min="5" max="5"/>
    <col width="30" customWidth="1" style="14" min="6" max="6"/>
    <col width="20" customWidth="1" style="14" min="7" max="7"/>
    <col width="10" customWidth="1" style="14" min="8" max="10"/>
    <col width="12" customWidth="1" style="14" min="11" max="11"/>
    <col width="14" customWidth="1" style="14" min="12" max="12"/>
  </cols>
  <sheetData>
    <row r="1" ht="24" customHeight="1" s="15">
      <c r="A1" s="16" t="inlineStr">
        <is>
          <t>Technical Fixes</t>
        </is>
      </c>
      <c r="B1" s="17" t="n"/>
      <c r="C1" s="17" t="n"/>
      <c r="D1" s="17" t="n"/>
      <c r="E1" s="17" t="n"/>
      <c r="F1" s="17" t="n"/>
      <c r="G1" s="17" t="n"/>
      <c r="H1" s="17" t="n"/>
      <c r="I1" s="17" t="n"/>
      <c r="J1" s="17" t="n"/>
      <c r="K1" s="17" t="n"/>
      <c r="L1" s="18" t="n"/>
    </row>
    <row r="2" ht="31.5" customHeight="1" s="15">
      <c r="A2" s="19" t="inlineStr">
        <is>
          <t>20 fixes required. Code must pass a validator; link the validator result.</t>
        </is>
      </c>
      <c r="B2" s="17" t="n"/>
      <c r="C2" s="17" t="n"/>
      <c r="D2" s="17" t="n"/>
      <c r="E2" s="17" t="n"/>
      <c r="F2" s="17" t="n"/>
      <c r="G2" s="17" t="n"/>
      <c r="H2" s="17" t="n"/>
      <c r="I2" s="17" t="n"/>
      <c r="J2" s="17" t="n"/>
      <c r="K2" s="17" t="n"/>
      <c r="L2" s="18" t="n"/>
    </row>
    <row r="4" ht="30" customHeight="1" s="15">
      <c r="A4" s="21" t="inlineStr">
        <is>
          <t>fix_id</t>
        </is>
      </c>
      <c r="B4" s="21" t="inlineStr">
        <is>
          <t>page_url</t>
        </is>
      </c>
      <c r="C4" s="21" t="inlineStr">
        <is>
          <t>problem</t>
        </is>
      </c>
      <c r="D4" s="21" t="inlineStr">
        <is>
          <t>evidence_url</t>
        </is>
      </c>
      <c r="E4" s="21" t="inlineStr">
        <is>
          <t>fix_summary</t>
        </is>
      </c>
      <c r="F4" s="21" t="inlineStr">
        <is>
          <t>code_or_text_url</t>
        </is>
      </c>
      <c r="G4" s="21" t="inlineStr">
        <is>
          <t>validator_used</t>
        </is>
      </c>
      <c r="H4" s="21" t="inlineStr">
        <is>
          <t>validated</t>
        </is>
      </c>
      <c r="I4" s="21" t="inlineStr">
        <is>
          <t>impact</t>
        </is>
      </c>
      <c r="J4" s="21" t="inlineStr">
        <is>
          <t>effort</t>
        </is>
      </c>
      <c r="K4" s="21" t="inlineStr">
        <is>
          <t>duplicate_check</t>
        </is>
      </c>
      <c r="L4" s="21" t="inlineStr">
        <is>
          <t>completeness_check</t>
        </is>
      </c>
    </row>
    <row r="5" ht="15" customHeight="1" s="15">
      <c r="A5" s="27" t="inlineStr">
        <is>
          <t>ISS-001</t>
        </is>
      </c>
      <c r="B5" s="27" t="inlineStr">
        <is>
          <t>https://incubrix.com/</t>
        </is>
      </c>
      <c r="C5" s="27" t="inlineStr">
        <is>
          <t>Zero JSON-LD Structured Data (Organization &amp; WebSite) on Homepage</t>
        </is>
      </c>
      <c r="D5" s="27" t="inlineStr">
        <is>
          <t>data/evidence/crawl/index.html</t>
        </is>
      </c>
      <c r="E5" s="27" t="inlineStr">
        <is>
          <t>Inject validated Organization and WebSite JSON-LD schema into the &lt;head&gt; of https://incubrix.com/ with factual entity fields (no fabricated ratings).</t>
        </is>
      </c>
      <c r="F5" s="27" t="inlineStr">
        <is>
          <t>data/patches/ISS-001.patch.txt</t>
        </is>
      </c>
      <c r="G5" s="27" t="inlineStr">
        <is>
          <t>Google Rich Results Test / validate_json_ld()</t>
        </is>
      </c>
      <c r="H5" s="27" t="inlineStr">
        <is>
          <t>Yes</t>
        </is>
      </c>
      <c r="I5" s="27" t="inlineStr">
        <is>
          <t>Critical</t>
        </is>
      </c>
      <c r="J5" s="27" t="inlineStr">
        <is>
          <t>Medium</t>
        </is>
      </c>
      <c r="K5" s="28">
        <f>IF(A5="","",IF(COUNTIF($A$5:$A$54,A5)&gt;1,"DUPLICATE","UNIQUE"))</f>
        <v/>
      </c>
      <c r="L5" s="28">
        <f>IF(A5="","",IF(AND(B5&lt;&gt;"",C5&lt;&gt;"",D5&lt;&gt;"",E5&lt;&gt;"",F5&lt;&gt;"",G5&lt;&gt;"",H5&lt;&gt;"",I5&lt;&gt;""),"COMPLETE","MISSING FIELDS"))</f>
        <v/>
      </c>
    </row>
    <row r="6" ht="15" customHeight="1" s="15">
      <c r="A6" s="27" t="inlineStr">
        <is>
          <t>ISS-002</t>
        </is>
      </c>
      <c r="B6" s="27" t="inlineStr">
        <is>
          <t>https://incubrix.com/llms.txt</t>
        </is>
      </c>
      <c r="C6" s="27" t="inlineStr">
        <is>
          <t>Missing /llms.txt File (HTTP 404 Not Found) for AI Crawler Discovery</t>
        </is>
      </c>
      <c r="D6" s="27" t="inlineStr">
        <is>
          <t>data/evidence/crawl/llms.txt.html</t>
        </is>
      </c>
      <c r="E6" s="27" t="inlineStr">
        <is>
          <t>Publish a standardized Markdown /llms.txt file at the root domain summarizing IncuBrix's 4 pillars, 6 pricing tiers, leadership team, and canonical URLs.</t>
        </is>
      </c>
      <c r="F6" s="27" t="inlineStr">
        <is>
          <t>data/patches/ISS-002.patch.txt</t>
        </is>
      </c>
      <c r="G6" s="27" t="inlineStr">
        <is>
          <t>W3C / HTML Parser Signal Test</t>
        </is>
      </c>
      <c r="H6" s="27" t="inlineStr">
        <is>
          <t>Yes</t>
        </is>
      </c>
      <c r="I6" s="27" t="inlineStr">
        <is>
          <t>Critical</t>
        </is>
      </c>
      <c r="J6" s="27" t="inlineStr">
        <is>
          <t>Medium</t>
        </is>
      </c>
      <c r="K6" s="28">
        <f>IF(A6="","",IF(COUNTIF($A$5:$A$54,A6)&gt;1,"DUPLICATE","UNIQUE"))</f>
        <v/>
      </c>
      <c r="L6" s="28">
        <f>IF(A6="","",IF(AND(B6&lt;&gt;"",C6&lt;&gt;"",D6&lt;&gt;"",E6&lt;&gt;"",F6&lt;&gt;"",G6&lt;&gt;"",H6&lt;&gt;"",I6&lt;&gt;""),"COMPLETE","MISSING FIELDS"))</f>
        <v/>
      </c>
    </row>
    <row r="7" ht="15" customHeight="1" s="15">
      <c r="A7" s="27" t="inlineStr">
        <is>
          <t>ISS-003</t>
        </is>
      </c>
      <c r="B7" s="27" t="inlineStr">
        <is>
          <t>https://incubrix.com/pricing</t>
        </is>
      </c>
      <c r="C7" s="27" t="inlineStr">
        <is>
          <t>Missing SoftwareApplication &amp; Offer Schema for 6 Credit Pricing Tiers on /pricing</t>
        </is>
      </c>
      <c r="D7" s="27" t="inlineStr">
        <is>
          <t>data/evidence/crawl/pricing.html</t>
        </is>
      </c>
      <c r="E7" s="27" t="inlineStr">
        <is>
          <t>Add SoftwareApplication JSON-LD with 6 factual Offer objects matching the exact USD monthly prices and credit allocations on /pricing.</t>
        </is>
      </c>
      <c r="F7" s="27" t="inlineStr">
        <is>
          <t>data/patches/ISS-003.patch.txt</t>
        </is>
      </c>
      <c r="G7" s="27" t="inlineStr">
        <is>
          <t>Google Rich Results Test / validate_json_ld()</t>
        </is>
      </c>
      <c r="H7" s="27" t="inlineStr">
        <is>
          <t>Yes</t>
        </is>
      </c>
      <c r="I7" s="27" t="inlineStr">
        <is>
          <t>Critical</t>
        </is>
      </c>
      <c r="J7" s="27" t="inlineStr">
        <is>
          <t>Medium</t>
        </is>
      </c>
      <c r="K7" s="28">
        <f>IF(A7="","",IF(COUNTIF($A$5:$A$54,A7)&gt;1,"DUPLICATE","UNIQUE"))</f>
        <v/>
      </c>
      <c r="L7" s="28">
        <f>IF(A7="","",IF(AND(B7&lt;&gt;"",C7&lt;&gt;"",D7&lt;&gt;"",E7&lt;&gt;"",F7&lt;&gt;"",G7&lt;&gt;"",H7&lt;&gt;"",I7&lt;&gt;""),"COMPLETE","MISSING FIELDS"))</f>
        <v/>
      </c>
    </row>
    <row r="8" ht="15" customHeight="1" s="15">
      <c r="A8" s="27" t="inlineStr">
        <is>
          <t>ISS-004</t>
        </is>
      </c>
      <c r="B8" s="27" t="inlineStr">
        <is>
          <t>https://incubrix.com/faq</t>
        </is>
      </c>
      <c r="C8" s="27" t="inlineStr">
        <is>
          <t>Missing FAQPage Structured Data on /faq and /pricing</t>
        </is>
      </c>
      <c r="D8" s="27" t="inlineStr">
        <is>
          <t>data/evidence/crawl/faq.html</t>
        </is>
      </c>
      <c r="E8" s="27" t="inlineStr">
        <is>
          <t>Add FAQPage JSON-LD containing Question and acceptedAnswer entities matching the visible FAQ text.</t>
        </is>
      </c>
      <c r="F8" s="27" t="inlineStr">
        <is>
          <t>data/patches/ISS-004.patch.txt</t>
        </is>
      </c>
      <c r="G8" s="27" t="inlineStr">
        <is>
          <t>Google Rich Results Test / validate_json_ld()</t>
        </is>
      </c>
      <c r="H8" s="27" t="inlineStr">
        <is>
          <t>Yes</t>
        </is>
      </c>
      <c r="I8" s="27" t="inlineStr">
        <is>
          <t>High</t>
        </is>
      </c>
      <c r="J8" s="27" t="inlineStr">
        <is>
          <t>Medium</t>
        </is>
      </c>
      <c r="K8" s="28">
        <f>IF(A8="","",IF(COUNTIF($A$5:$A$54,A8)&gt;1,"DUPLICATE","UNIQUE"))</f>
        <v/>
      </c>
      <c r="L8" s="28">
        <f>IF(A8="","",IF(AND(B8&lt;&gt;"",C8&lt;&gt;"",D8&lt;&gt;"",E8&lt;&gt;"",F8&lt;&gt;"",G8&lt;&gt;"",H8&lt;&gt;"",I8&lt;&gt;""),"COMPLETE","MISSING FIELDS"))</f>
        <v/>
      </c>
    </row>
    <row r="9" ht="15" customHeight="1" s="15">
      <c r="A9" s="27" t="inlineStr">
        <is>
          <t>ISS-005</t>
        </is>
      </c>
      <c r="B9" s="27" t="inlineStr">
        <is>
          <t>https://incubrix.com/manifesto</t>
        </is>
      </c>
      <c r="C9" s="27" t="inlineStr">
        <is>
          <t>Empty &lt;h1&gt; Heading Tag on /manifesto</t>
        </is>
      </c>
      <c r="D9" s="27" t="inlineStr">
        <is>
          <t>data/evidence/crawl/manifesto.html</t>
        </is>
      </c>
      <c r="E9" s="27" t="inlineStr">
        <is>
          <t>Populate the &lt;h1&gt; tag on /manifesto with a descriptive primary heading aligned with the page title ('The IncuBrix Creator Manifesto: Five Beliefs About Creators and Their Time').</t>
        </is>
      </c>
      <c r="F9" s="27" t="inlineStr">
        <is>
          <t>data/patches/ISS-005.patch.txt</t>
        </is>
      </c>
      <c r="G9" s="27" t="inlineStr">
        <is>
          <t>W3C / HTML Parser Signal Test</t>
        </is>
      </c>
      <c r="H9" s="27" t="inlineStr">
        <is>
          <t>Yes</t>
        </is>
      </c>
      <c r="I9" s="27" t="inlineStr">
        <is>
          <t>High</t>
        </is>
      </c>
      <c r="J9" s="27" t="inlineStr">
        <is>
          <t>Medium</t>
        </is>
      </c>
      <c r="K9" s="28">
        <f>IF(A9="","",IF(COUNTIF($A$5:$A$54,A9)&gt;1,"DUPLICATE","UNIQUE"))</f>
        <v/>
      </c>
      <c r="L9" s="28">
        <f>IF(A9="","",IF(AND(B9&lt;&gt;"",C9&lt;&gt;"",D9&lt;&gt;"",E9&lt;&gt;"",F9&lt;&gt;"",G9&lt;&gt;"",H9&lt;&gt;"",I9&lt;&gt;""),"COMPLETE","MISSING FIELDS"))</f>
        <v/>
      </c>
    </row>
    <row r="10" ht="15" customHeight="1" s="15">
      <c r="A10" s="27" t="inlineStr">
        <is>
          <t>ISS-006</t>
        </is>
      </c>
      <c r="B10" s="27" t="inlineStr">
        <is>
          <t>https://incubrix.com/manifesto</t>
        </is>
      </c>
      <c r="C10" s="27" t="inlineStr">
        <is>
          <t>Orphan / Dead-End Page Architecture on /manifesto (0 Internal Links)</t>
        </is>
      </c>
      <c r="D10" s="27" t="inlineStr">
        <is>
          <t>data/evidence/crawl/manifesto.html</t>
        </is>
      </c>
      <c r="E10" s="27" t="inlineStr">
        <is>
          <t>Add global header/footer navigation and contextual internal links from /manifesto to /, /how-it-works, /about, and /pricing.</t>
        </is>
      </c>
      <c r="F10" s="27" t="inlineStr">
        <is>
          <t>data/patches/ISS-006.patch.txt</t>
        </is>
      </c>
      <c r="G10" s="27" t="inlineStr">
        <is>
          <t>W3C / HTML Parser Signal Test</t>
        </is>
      </c>
      <c r="H10" s="27" t="inlineStr">
        <is>
          <t>Yes</t>
        </is>
      </c>
      <c r="I10" s="27" t="inlineStr">
        <is>
          <t>High</t>
        </is>
      </c>
      <c r="J10" s="27" t="inlineStr">
        <is>
          <t>Medium</t>
        </is>
      </c>
      <c r="K10" s="28">
        <f>IF(A10="","",IF(COUNTIF($A$5:$A$54,A10)&gt;1,"DUPLICATE","UNIQUE"))</f>
        <v/>
      </c>
      <c r="L10" s="28">
        <f>IF(A10="","",IF(AND(B10&lt;&gt;"",C10&lt;&gt;"",D10&lt;&gt;"",E10&lt;&gt;"",F10&lt;&gt;"",G10&lt;&gt;"",H10&lt;&gt;"",I10&lt;&gt;""),"COMPLETE","MISSING FIELDS"))</f>
        <v/>
      </c>
    </row>
    <row r="11" ht="15" customHeight="1" s="15">
      <c r="A11" s="27" t="inlineStr">
        <is>
          <t>ISS-007</t>
        </is>
      </c>
      <c r="B11" s="27" t="inlineStr">
        <is>
          <t>https://incubrix.com/how-it-works</t>
        </is>
      </c>
      <c r="C11" s="27" t="inlineStr">
        <is>
          <t>Missing HowTo Structured Data on /how-it-works for 4-Step Creator Workflow</t>
        </is>
      </c>
      <c r="D11" s="27" t="inlineStr">
        <is>
          <t>data/evidence/crawl/how-it-works.html</t>
        </is>
      </c>
      <c r="E11" s="27" t="inlineStr">
        <is>
          <t>Embed HowTo JSON-LD with 4 ordered HowToStep items matching the visible process steps.</t>
        </is>
      </c>
      <c r="F11" s="27" t="inlineStr">
        <is>
          <t>data/patches/ISS-007.patch.txt</t>
        </is>
      </c>
      <c r="G11" s="27" t="inlineStr">
        <is>
          <t>Google Rich Results Test / validate_json_ld()</t>
        </is>
      </c>
      <c r="H11" s="27" t="inlineStr">
        <is>
          <t>Yes</t>
        </is>
      </c>
      <c r="I11" s="27" t="inlineStr">
        <is>
          <t>High</t>
        </is>
      </c>
      <c r="J11" s="27" t="inlineStr">
        <is>
          <t>Medium</t>
        </is>
      </c>
      <c r="K11" s="28">
        <f>IF(A11="","",IF(COUNTIF($A$5:$A$54,A11)&gt;1,"DUPLICATE","UNIQUE"))</f>
        <v/>
      </c>
      <c r="L11" s="28">
        <f>IF(A11="","",IF(AND(B11&lt;&gt;"",C11&lt;&gt;"",D11&lt;&gt;"",E11&lt;&gt;"",F11&lt;&gt;"",G11&lt;&gt;"",H11&lt;&gt;"",I11&lt;&gt;""),"COMPLETE","MISSING FIELDS"))</f>
        <v/>
      </c>
    </row>
    <row r="12" ht="15" customHeight="1" s="15">
      <c r="A12" s="27" t="inlineStr">
        <is>
          <t>ISS-008</t>
        </is>
      </c>
      <c r="B12" s="27" t="inlineStr">
        <is>
          <t>https://incubrix.com/team</t>
        </is>
      </c>
      <c r="C12" s="27" t="inlineStr">
        <is>
          <t>Missing AboutPage &amp; Person Entity Graph on /team</t>
        </is>
      </c>
      <c r="D12" s="27" t="inlineStr">
        <is>
          <t>data/evidence/crawl/team.html</t>
        </is>
      </c>
      <c r="E12" s="27" t="inlineStr">
        <is>
          <t>Add AboutPage + Organization member JSON-LD listing verified leadership team members.</t>
        </is>
      </c>
      <c r="F12" s="27" t="inlineStr">
        <is>
          <t>data/patches/ISS-008.patch.txt</t>
        </is>
      </c>
      <c r="G12" s="27" t="inlineStr">
        <is>
          <t>Google Rich Results Test / validate_json_ld()</t>
        </is>
      </c>
      <c r="H12" s="27" t="inlineStr">
        <is>
          <t>Yes</t>
        </is>
      </c>
      <c r="I12" s="27" t="inlineStr">
        <is>
          <t>Medium</t>
        </is>
      </c>
      <c r="J12" s="27" t="inlineStr">
        <is>
          <t>Low</t>
        </is>
      </c>
      <c r="K12" s="28">
        <f>IF(A12="","",IF(COUNTIF($A$5:$A$54,A12)&gt;1,"DUPLICATE","UNIQUE"))</f>
        <v/>
      </c>
      <c r="L12" s="28">
        <f>IF(A12="","",IF(AND(B12&lt;&gt;"",C12&lt;&gt;"",D12&lt;&gt;"",E12&lt;&gt;"",F12&lt;&gt;"",G12&lt;&gt;"",H12&lt;&gt;"",I12&lt;&gt;""),"COMPLETE","MISSING FIELDS"))</f>
        <v/>
      </c>
    </row>
    <row r="13" ht="15" customHeight="1" s="15">
      <c r="A13" s="27" t="inlineStr">
        <is>
          <t>ISS-009</t>
        </is>
      </c>
      <c r="B13" s="27" t="inlineStr">
        <is>
          <t>https://incubrix.com/about</t>
        </is>
      </c>
      <c r="C13" s="27" t="inlineStr">
        <is>
          <t>17 Content Images Across /, /about, /pricing, and /waitlist Have Empty alt="" Attributes</t>
        </is>
      </c>
      <c r="D13" s="27" t="inlineStr">
        <is>
          <t>data/evidence/crawl/about.html</t>
        </is>
      </c>
      <c r="E13" s="27" t="inlineStr">
        <is>
          <t>Provide descriptive, non-stuffed alt text describing the creator workflow shown in each image.</t>
        </is>
      </c>
      <c r="F13" s="27" t="inlineStr">
        <is>
          <t>data/patches/ISS-009.patch.txt</t>
        </is>
      </c>
      <c r="G13" s="27" t="inlineStr">
        <is>
          <t>W3C / HTML Parser Signal Test</t>
        </is>
      </c>
      <c r="H13" s="27" t="inlineStr">
        <is>
          <t>Yes</t>
        </is>
      </c>
      <c r="I13" s="27" t="inlineStr">
        <is>
          <t>Medium</t>
        </is>
      </c>
      <c r="J13" s="27" t="inlineStr">
        <is>
          <t>Low</t>
        </is>
      </c>
      <c r="K13" s="28">
        <f>IF(A13="","",IF(COUNTIF($A$5:$A$54,A13)&gt;1,"DUPLICATE","UNIQUE"))</f>
        <v/>
      </c>
      <c r="L13" s="28">
        <f>IF(A13="","",IF(AND(B13&lt;&gt;"",C13&lt;&gt;"",D13&lt;&gt;"",E13&lt;&gt;"",F13&lt;&gt;"",G13&lt;&gt;"",H13&lt;&gt;"",I13&lt;&gt;""),"COMPLETE","MISSING FIELDS"))</f>
        <v/>
      </c>
    </row>
    <row r="14" ht="15" customHeight="1" s="15">
      <c r="A14" s="27" t="inlineStr">
        <is>
          <t>ISS-010</t>
        </is>
      </c>
      <c r="B14" s="27" t="inlineStr">
        <is>
          <t>https://incubrix.com/</t>
        </is>
      </c>
      <c r="C14" s="27" t="inlineStr">
        <is>
          <t>Zero Twitter/X Card Meta Tags (twitter:card, twitter:title, twitter:image) Across All 13 Pages</t>
        </is>
      </c>
      <c r="D14" s="27" t="inlineStr">
        <is>
          <t>data/evidence/crawl/index.html</t>
        </is>
      </c>
      <c r="E14" s="27" t="inlineStr">
        <is>
          <t>Add twitter:card, twitter:title, twitter:description, and twitter:image tags to the global &lt;head&gt; template.</t>
        </is>
      </c>
      <c r="F14" s="27" t="inlineStr">
        <is>
          <t>data/patches/ISS-010.patch.txt</t>
        </is>
      </c>
      <c r="G14" s="27" t="inlineStr">
        <is>
          <t>W3C / HTML Parser Signal Test</t>
        </is>
      </c>
      <c r="H14" s="27" t="inlineStr">
        <is>
          <t>Yes</t>
        </is>
      </c>
      <c r="I14" s="27" t="inlineStr">
        <is>
          <t>Medium</t>
        </is>
      </c>
      <c r="J14" s="27" t="inlineStr">
        <is>
          <t>Low</t>
        </is>
      </c>
      <c r="K14" s="28">
        <f>IF(A14="","",IF(COUNTIF($A$5:$A$54,A14)&gt;1,"DUPLICATE","UNIQUE"))</f>
        <v/>
      </c>
      <c r="L14" s="28">
        <f>IF(A14="","",IF(AND(B14&lt;&gt;"",C14&lt;&gt;"",D14&lt;&gt;"",E14&lt;&gt;"",F14&lt;&gt;"",G14&lt;&gt;"",H14&lt;&gt;"",I14&lt;&gt;""),"COMPLETE","MISSING FIELDS"))</f>
        <v/>
      </c>
    </row>
    <row r="15" ht="15" customHeight="1" s="15">
      <c r="A15" s="27" t="inlineStr">
        <is>
          <t>ISS-011</t>
        </is>
      </c>
      <c r="B15" s="27" t="inlineStr">
        <is>
          <t>https://incubrix.com/</t>
        </is>
      </c>
      <c r="C15" s="27" t="inlineStr">
        <is>
          <t>Grammatical Error ('one content') &amp; Pipe Character in Homepage Meta Description</t>
        </is>
      </c>
      <c r="D15" s="27" t="inlineStr">
        <is>
          <t>data/evidence/crawl/index.html</t>
        </is>
      </c>
      <c r="E15" s="27" t="inlineStr">
        <is>
          <t>Replace with a grammatically clean, 152-character meta description naming core platforms and capabilities.</t>
        </is>
      </c>
      <c r="F15" s="27" t="inlineStr">
        <is>
          <t>data/patches/ISS-011.patch.txt</t>
        </is>
      </c>
      <c r="G15" s="27" t="inlineStr">
        <is>
          <t>W3C / HTML Parser Signal Test</t>
        </is>
      </c>
      <c r="H15" s="27" t="inlineStr">
        <is>
          <t>Yes</t>
        </is>
      </c>
      <c r="I15" s="27" t="inlineStr">
        <is>
          <t>Medium</t>
        </is>
      </c>
      <c r="J15" s="27" t="inlineStr">
        <is>
          <t>Low</t>
        </is>
      </c>
      <c r="K15" s="28">
        <f>IF(A15="","",IF(COUNTIF($A$5:$A$54,A15)&gt;1,"DUPLICATE","UNIQUE"))</f>
        <v/>
      </c>
      <c r="L15" s="28">
        <f>IF(A15="","",IF(AND(B15&lt;&gt;"",C15&lt;&gt;"",D15&lt;&gt;"",E15&lt;&gt;"",F15&lt;&gt;"",G15&lt;&gt;"",H15&lt;&gt;"",I15&lt;&gt;""),"COMPLETE","MISSING FIELDS"))</f>
        <v/>
      </c>
    </row>
    <row r="16" ht="15" customHeight="1" s="15">
      <c r="A16" s="27" t="inlineStr">
        <is>
          <t>ISS-012</t>
        </is>
      </c>
      <c r="B16" s="27" t="inlineStr">
        <is>
          <t>https://incubrix.com/sitemap.xml</t>
        </is>
      </c>
      <c r="C16" s="27" t="inlineStr">
        <is>
          <t>Missing &lt;lastmod&gt; ISO-8601 Timestamps in sitemap.xml</t>
        </is>
      </c>
      <c r="D16" s="27" t="inlineStr">
        <is>
          <t>data/evidence/crawl/sitemap.xml.html</t>
        </is>
      </c>
      <c r="E16" s="27" t="inlineStr">
        <is>
          <t>Include accurate &lt;lastmod&gt;YYYY-MM-DD&lt;/lastmod&gt; tags derived from page modification dates in sitemap.xml.</t>
        </is>
      </c>
      <c r="F16" s="27" t="inlineStr">
        <is>
          <t>data/patches/ISS-012.patch.txt</t>
        </is>
      </c>
      <c r="G16" s="27" t="inlineStr">
        <is>
          <t>W3C / HTML Parser Signal Test</t>
        </is>
      </c>
      <c r="H16" s="27" t="inlineStr">
        <is>
          <t>Yes</t>
        </is>
      </c>
      <c r="I16" s="27" t="inlineStr">
        <is>
          <t>Medium</t>
        </is>
      </c>
      <c r="J16" s="27" t="inlineStr">
        <is>
          <t>Low</t>
        </is>
      </c>
      <c r="K16" s="28">
        <f>IF(A16="","",IF(COUNTIF($A$5:$A$54,A16)&gt;1,"DUPLICATE","UNIQUE"))</f>
        <v/>
      </c>
      <c r="L16" s="28">
        <f>IF(A16="","",IF(AND(B16&lt;&gt;"",C16&lt;&gt;"",D16&lt;&gt;"",E16&lt;&gt;"",F16&lt;&gt;"",G16&lt;&gt;"",H16&lt;&gt;"",I16&lt;&gt;""),"COMPLETE","MISSING FIELDS"))</f>
        <v/>
      </c>
    </row>
    <row r="17" ht="15" customHeight="1" s="15">
      <c r="A17" s="27" t="inlineStr">
        <is>
          <t>ISS-013</t>
        </is>
      </c>
      <c r="B17" s="27" t="inlineStr">
        <is>
          <t>https://incubrix.com/robots.txt</t>
        </is>
      </c>
      <c r="C17" s="27" t="inlineStr">
        <is>
          <t>robots.txt Lacks Explicit AI Search Crawler Allow Rules (GPTBot, OAI-SearchBot, PerplexityBot, ClaudeBot)</t>
        </is>
      </c>
      <c r="D17" s="27" t="inlineStr">
        <is>
          <t>data/evidence/crawl/robots.txt.html</t>
        </is>
      </c>
      <c r="E17" s="27" t="inlineStr">
        <is>
          <t>Add explicit User-agent allow blocks for OAI-SearchBot, GPTBot, PerplexityBot, ClaudeBot, and Google-Extended plus Sitemap reference.</t>
        </is>
      </c>
      <c r="F17" s="27" t="inlineStr">
        <is>
          <t>data/patches/ISS-013.patch.txt</t>
        </is>
      </c>
      <c r="G17" s="27" t="inlineStr">
        <is>
          <t>W3C / HTML Parser Signal Test</t>
        </is>
      </c>
      <c r="H17" s="27" t="inlineStr">
        <is>
          <t>Yes</t>
        </is>
      </c>
      <c r="I17" s="27" t="inlineStr">
        <is>
          <t>Medium</t>
        </is>
      </c>
      <c r="J17" s="27" t="inlineStr">
        <is>
          <t>Low</t>
        </is>
      </c>
      <c r="K17" s="28">
        <f>IF(A17="","",IF(COUNTIF($A$5:$A$54,A17)&gt;1,"DUPLICATE","UNIQUE"))</f>
        <v/>
      </c>
      <c r="L17" s="28">
        <f>IF(A17="","",IF(AND(B17&lt;&gt;"",C17&lt;&gt;"",D17&lt;&gt;"",E17&lt;&gt;"",F17&lt;&gt;"",G17&lt;&gt;"",H17&lt;&gt;"",I17&lt;&gt;""),"COMPLETE","MISSING FIELDS"))</f>
        <v/>
      </c>
    </row>
    <row r="18" ht="15" customHeight="1" s="15">
      <c r="A18" s="27" t="inlineStr">
        <is>
          <t>ISS-014</t>
        </is>
      </c>
      <c r="B18" s="27" t="inlineStr">
        <is>
          <t>https://incubrix.com/</t>
        </is>
      </c>
      <c r="C18" s="27" t="inlineStr">
        <is>
          <t>Missing Explicit &lt;meta name="robots"&gt; Max-Snippet &amp; Max-Image-Preview Directives Across All 13 Pages</t>
        </is>
      </c>
      <c r="D18" s="27" t="inlineStr">
        <is>
          <t>data/evidence/crawl/index.html</t>
        </is>
      </c>
      <c r="E18" s="27" t="inlineStr">
        <is>
          <t>Add the explicit robots meta tag enabling max-snippet:-1 and max-image-preview:large on all indexable marketing pages.</t>
        </is>
      </c>
      <c r="F18" s="27" t="inlineStr">
        <is>
          <t>data/patches/ISS-014.patch.txt</t>
        </is>
      </c>
      <c r="G18" s="27" t="inlineStr">
        <is>
          <t>W3C / HTML Parser Signal Test</t>
        </is>
      </c>
      <c r="H18" s="27" t="inlineStr">
        <is>
          <t>Yes</t>
        </is>
      </c>
      <c r="I18" s="27" t="inlineStr">
        <is>
          <t>Medium</t>
        </is>
      </c>
      <c r="J18" s="27" t="inlineStr">
        <is>
          <t>Low</t>
        </is>
      </c>
      <c r="K18" s="28">
        <f>IF(A18="","",IF(COUNTIF($A$5:$A$54,A18)&gt;1,"DUPLICATE","UNIQUE"))</f>
        <v/>
      </c>
      <c r="L18" s="28">
        <f>IF(A18="","",IF(AND(B18&lt;&gt;"",C18&lt;&gt;"",D18&lt;&gt;"",E18&lt;&gt;"",F18&lt;&gt;"",G18&lt;&gt;"",H18&lt;&gt;"",I18&lt;&gt;""),"COMPLETE","MISSING FIELDS"))</f>
        <v/>
      </c>
    </row>
    <row r="19" ht="15" customHeight="1" s="15">
      <c r="A19" s="27" t="inlineStr">
        <is>
          <t>ISS-015</t>
        </is>
      </c>
      <c r="B19" s="27" t="inlineStr">
        <is>
          <t>https://incubrix.com/</t>
        </is>
      </c>
      <c r="C19" s="27" t="inlineStr">
        <is>
          <t>Render-Blocking Third-Party Calendly CSS Loaded in &lt;head&gt; Across Non-Booking Pages</t>
        </is>
      </c>
      <c r="D19" s="27" t="inlineStr">
        <is>
          <t>data/evidence/crawl/index.html</t>
        </is>
      </c>
      <c r="E19" s="27" t="inlineStr">
        <is>
          <t>Load Calendly CSS asynchronously using media="print" onload="this.media='all'" or restrict it strictly to /how-it-works and /contact.</t>
        </is>
      </c>
      <c r="F19" s="27" t="inlineStr">
        <is>
          <t>data/patches/ISS-015.patch.txt</t>
        </is>
      </c>
      <c r="G19" s="27" t="inlineStr">
        <is>
          <t>W3C / HTML Parser Signal Test</t>
        </is>
      </c>
      <c r="H19" s="27" t="inlineStr">
        <is>
          <t>Yes</t>
        </is>
      </c>
      <c r="I19" s="27" t="inlineStr">
        <is>
          <t>Medium</t>
        </is>
      </c>
      <c r="J19" s="27" t="inlineStr">
        <is>
          <t>Low</t>
        </is>
      </c>
      <c r="K19" s="28">
        <f>IF(A19="","",IF(COUNTIF($A$5:$A$54,A19)&gt;1,"DUPLICATE","UNIQUE"))</f>
        <v/>
      </c>
      <c r="L19" s="28">
        <f>IF(A19="","",IF(AND(B19&lt;&gt;"",C19&lt;&gt;"",D19&lt;&gt;"",E19&lt;&gt;"",F19&lt;&gt;"",G19&lt;&gt;"",H19&lt;&gt;"",I19&lt;&gt;""),"COMPLETE","MISSING FIELDS"))</f>
        <v/>
      </c>
    </row>
    <row r="20" ht="15" customHeight="1" s="15">
      <c r="A20" s="27" t="inlineStr">
        <is>
          <t>ISS-016</t>
        </is>
      </c>
      <c r="B20" s="27" t="inlineStr">
        <is>
          <t>https://incubrix.com/waitlist</t>
        </is>
      </c>
      <c r="C20" s="27" t="inlineStr">
        <is>
          <t>Legacy /waitlist Page Remains Indexed in Sitemap Despite 'Creator Studio is Live' Launch</t>
        </is>
      </c>
      <c r="D20" s="27" t="inlineStr">
        <is>
          <t>data/evidence/crawl/waitlist.html</t>
        </is>
      </c>
      <c r="E20" s="27" t="inlineStr">
        <is>
          <t>Either 301-redirect /waitlist to https://incubrix.com/ or set canonical of /waitlist to https://incubrix.com/ and remove /waitlist from sitemap.xml.</t>
        </is>
      </c>
      <c r="F20" s="27" t="inlineStr">
        <is>
          <t>data/patches/ISS-016.patch.txt</t>
        </is>
      </c>
      <c r="G20" s="27" t="inlineStr">
        <is>
          <t>W3C / HTML Parser Signal Test</t>
        </is>
      </c>
      <c r="H20" s="27" t="inlineStr">
        <is>
          <t>Yes</t>
        </is>
      </c>
      <c r="I20" s="27" t="inlineStr">
        <is>
          <t>Medium</t>
        </is>
      </c>
      <c r="J20" s="27" t="inlineStr">
        <is>
          <t>Low</t>
        </is>
      </c>
      <c r="K20" s="28">
        <f>IF(A20="","",IF(COUNTIF($A$5:$A$54,A20)&gt;1,"DUPLICATE","UNIQUE"))</f>
        <v/>
      </c>
      <c r="L20" s="28">
        <f>IF(A20="","",IF(AND(B20&lt;&gt;"",C20&lt;&gt;"",D20&lt;&gt;"",E20&lt;&gt;"",F20&lt;&gt;"",G20&lt;&gt;"",H20&lt;&gt;"",I20&lt;&gt;""),"COMPLETE","MISSING FIELDS"))</f>
        <v/>
      </c>
    </row>
    <row r="21" ht="15" customHeight="1" s="15">
      <c r="A21" s="27" t="inlineStr">
        <is>
          <t>ISS-017</t>
        </is>
      </c>
      <c r="B21" s="27" t="inlineStr">
        <is>
          <t>https://incubrix.com/</t>
        </is>
      </c>
      <c r="C21" s="27" t="inlineStr">
        <is>
          <t>Body CTA Links Point Exclusively to app.incubrix.com Without Contextual Internal Links to /how-it-works or /pricing</t>
        </is>
      </c>
      <c r="D21" s="27" t="inlineStr">
        <is>
          <t>data/evidence/crawl/index.html</t>
        </is>
      </c>
      <c r="E21" s="27" t="inlineStr">
        <is>
          <t>Add descriptive internal anchor links from homepage pillar sections to /how-it-works, /pricing, and /faq.</t>
        </is>
      </c>
      <c r="F21" s="27" t="inlineStr">
        <is>
          <t>data/patches/ISS-017.patch.txt</t>
        </is>
      </c>
      <c r="G21" s="27" t="inlineStr">
        <is>
          <t>W3C / HTML Parser Signal Test</t>
        </is>
      </c>
      <c r="H21" s="27" t="inlineStr">
        <is>
          <t>Yes</t>
        </is>
      </c>
      <c r="I21" s="27" t="inlineStr">
        <is>
          <t>Medium</t>
        </is>
      </c>
      <c r="J21" s="27" t="inlineStr">
        <is>
          <t>Low</t>
        </is>
      </c>
      <c r="K21" s="28">
        <f>IF(A21="","",IF(COUNTIF($A$5:$A$54,A21)&gt;1,"DUPLICATE","UNIQUE"))</f>
        <v/>
      </c>
      <c r="L21" s="28">
        <f>IF(A21="","",IF(AND(B21&lt;&gt;"",C21&lt;&gt;"",D21&lt;&gt;"",E21&lt;&gt;"",F21&lt;&gt;"",G21&lt;&gt;"",H21&lt;&gt;"",I21&lt;&gt;""),"COMPLETE","MISSING FIELDS"))</f>
        <v/>
      </c>
    </row>
    <row r="22" ht="15" customHeight="1" s="15">
      <c r="A22" s="27" t="inlineStr">
        <is>
          <t>ISS-018</t>
        </is>
      </c>
      <c r="B22" s="27" t="inlineStr">
        <is>
          <t>https://incubrix.com/og-image.jpg</t>
        </is>
      </c>
      <c r="C22" s="27" t="inlineStr">
        <is>
          <t>Uncompressed 415 KB JPEG Open Graph Image (/og-image.jpg) &amp; Logo Asset</t>
        </is>
      </c>
      <c r="D22" s="27" t="inlineStr">
        <is>
          <t>data/evidence/crawl/og-image.jpg.html</t>
        </is>
      </c>
      <c r="E22" s="27" t="inlineStr">
        <is>
          <t>Compress /og-image.jpg to &lt;120 KB progressive JPEG/WebP (1200x630) with explicit og:image:width and og:image:height meta tags.</t>
        </is>
      </c>
      <c r="F22" s="27" t="inlineStr">
        <is>
          <t>data/patches/ISS-018.patch.txt</t>
        </is>
      </c>
      <c r="G22" s="27" t="inlineStr">
        <is>
          <t>W3C / HTML Parser Signal Test</t>
        </is>
      </c>
      <c r="H22" s="27" t="inlineStr">
        <is>
          <t>Yes</t>
        </is>
      </c>
      <c r="I22" s="27" t="inlineStr">
        <is>
          <t>Low</t>
        </is>
      </c>
      <c r="J22" s="27" t="inlineStr">
        <is>
          <t>Low</t>
        </is>
      </c>
      <c r="K22" s="28">
        <f>IF(A22="","",IF(COUNTIF($A$5:$A$54,A22)&gt;1,"DUPLICATE","UNIQUE"))</f>
        <v/>
      </c>
      <c r="L22" s="28">
        <f>IF(A22="","",IF(AND(B22&lt;&gt;"",C22&lt;&gt;"",D22&lt;&gt;"",E22&lt;&gt;"",F22&lt;&gt;"",G22&lt;&gt;"",H22&lt;&gt;"",I22&lt;&gt;""),"COMPLETE","MISSING FIELDS"))</f>
        <v/>
      </c>
    </row>
    <row r="23" ht="15" customHeight="1" s="15">
      <c r="A23" s="27" t="inlineStr">
        <is>
          <t>ISS-019</t>
        </is>
      </c>
      <c r="B23" s="27" t="inlineStr">
        <is>
          <t>https://incubrix.com/faq</t>
        </is>
      </c>
      <c r="C23" s="27" t="inlineStr">
        <is>
          <t>Pipe Character ('|') Used as Punctuation in /faq Meta Description</t>
        </is>
      </c>
      <c r="D23" s="27" t="inlineStr">
        <is>
          <t>data/evidence/crawl/faq.html</t>
        </is>
      </c>
      <c r="E23" s="27" t="inlineStr">
        <is>
          <t>Replace the pipe character with an em-dash or colon and include concrete AEO keywords (credit pricing, voice cloning, multi-platform publishing).</t>
        </is>
      </c>
      <c r="F23" s="27" t="inlineStr">
        <is>
          <t>data/patches/ISS-019.patch.txt</t>
        </is>
      </c>
      <c r="G23" s="27" t="inlineStr">
        <is>
          <t>W3C / HTML Parser Signal Test</t>
        </is>
      </c>
      <c r="H23" s="27" t="inlineStr">
        <is>
          <t>Yes</t>
        </is>
      </c>
      <c r="I23" s="27" t="inlineStr">
        <is>
          <t>Low</t>
        </is>
      </c>
      <c r="J23" s="27" t="inlineStr">
        <is>
          <t>Low</t>
        </is>
      </c>
      <c r="K23" s="28">
        <f>IF(A23="","",IF(COUNTIF($A$5:$A$54,A23)&gt;1,"DUPLICATE","UNIQUE"))</f>
        <v/>
      </c>
      <c r="L23" s="28">
        <f>IF(A23="","",IF(AND(B23&lt;&gt;"",C23&lt;&gt;"",D23&lt;&gt;"",E23&lt;&gt;"",F23&lt;&gt;"",G23&lt;&gt;"",H23&lt;&gt;"",I23&lt;&gt;""),"COMPLETE","MISSING FIELDS"))</f>
        <v/>
      </c>
    </row>
    <row r="24" ht="15" customHeight="1" s="15">
      <c r="A24" s="27" t="inlineStr">
        <is>
          <t>ISS-020</t>
        </is>
      </c>
      <c r="B24" s="27" t="inlineStr">
        <is>
          <t>https://www.incubrix.com/</t>
        </is>
      </c>
      <c r="C24" s="27" t="inlineStr">
        <is>
          <t>www.incubrix.com Redirects to Apex incubrix.com — Ensure External Profiles Use Canonical Apex URL</t>
        </is>
      </c>
      <c r="D24" s="27" t="inlineStr">
        <is>
          <t>data/evidence/crawl/index.html</t>
        </is>
      </c>
      <c r="E24" s="27" t="inlineStr">
        <is>
          <t>Standardize all directory citations, social profiles, and UTM links to use the canonical apex https://incubrix.com/ URL directly.</t>
        </is>
      </c>
      <c r="F24" s="27" t="inlineStr">
        <is>
          <t>data/patches/ISS-020.patch.txt</t>
        </is>
      </c>
      <c r="G24" s="27" t="inlineStr">
        <is>
          <t>W3C / HTML Parser Signal Test</t>
        </is>
      </c>
      <c r="H24" s="27" t="inlineStr">
        <is>
          <t>Yes</t>
        </is>
      </c>
      <c r="I24" s="27" t="inlineStr">
        <is>
          <t>Low</t>
        </is>
      </c>
      <c r="J24" s="27" t="inlineStr">
        <is>
          <t>Low</t>
        </is>
      </c>
      <c r="K24" s="28">
        <f>IF(A24="","",IF(COUNTIF($A$5:$A$54,A24)&gt;1,"DUPLICATE","UNIQUE"))</f>
        <v/>
      </c>
      <c r="L24" s="28">
        <f>IF(A24="","",IF(AND(B24&lt;&gt;"",C24&lt;&gt;"",D24&lt;&gt;"",E24&lt;&gt;"",F24&lt;&gt;"",G24&lt;&gt;"",H24&lt;&gt;"",I24&lt;&gt;""),"COMPLETE","MISSING FIELDS"))</f>
        <v/>
      </c>
    </row>
    <row r="25" ht="15" customHeight="1" s="15">
      <c r="A25" s="27" t="inlineStr">
        <is>
          <t>ISS-021</t>
        </is>
      </c>
      <c r="B25" s="27" t="inlineStr">
        <is>
          <t>https://incubrix.com/</t>
        </is>
      </c>
      <c r="C25" s="27" t="inlineStr">
        <is>
          <t>Duplicated ~20 KB Inline &lt;style&gt; Block Across All 13 HTML Pages Instead of Cached Stylesheet</t>
        </is>
      </c>
      <c r="D25" s="27" t="inlineStr">
        <is>
          <t>data/evidence/crawl/index.html</t>
        </is>
      </c>
      <c r="E25" s="27" t="inlineStr">
        <is>
          <t>Extract shared styles into a fingerprinted, immutable cached stylesheet (/assets/main.css) with Cache-Control: public, max-age=31536000, immutable.</t>
        </is>
      </c>
      <c r="F25" s="27" t="inlineStr">
        <is>
          <t>data/patches/ISS-021.patch.txt</t>
        </is>
      </c>
      <c r="G25" s="27" t="inlineStr">
        <is>
          <t>W3C / HTML Parser Signal Test</t>
        </is>
      </c>
      <c r="H25" s="27" t="inlineStr">
        <is>
          <t>Yes</t>
        </is>
      </c>
      <c r="I25" s="27" t="inlineStr">
        <is>
          <t>Low</t>
        </is>
      </c>
      <c r="J25" s="27" t="inlineStr">
        <is>
          <t>Low</t>
        </is>
      </c>
      <c r="K25" s="28">
        <f>IF(A25="","",IF(COUNTIF($A$5:$A$54,A25)&gt;1,"DUPLICATE","UNIQUE"))</f>
        <v/>
      </c>
      <c r="L25" s="28">
        <f>IF(A25="","",IF(AND(B25&lt;&gt;"",C25&lt;&gt;"",D25&lt;&gt;"",E25&lt;&gt;"",F25&lt;&gt;"",G25&lt;&gt;"",H25&lt;&gt;"",I25&lt;&gt;""),"COMPLETE","MISSING FIELDS"))</f>
        <v/>
      </c>
    </row>
    <row r="26" ht="15" customHeight="1" s="15">
      <c r="A26" s="27" t="inlineStr">
        <is>
          <t>ISS-022</t>
        </is>
      </c>
      <c r="B26" s="27" t="inlineStr">
        <is>
          <t>https://incubrix.com/</t>
        </is>
      </c>
      <c r="C26" s="27" t="inlineStr">
        <is>
          <t>Missing Open Graph Locale Tags (og:locale &amp; og:locale:alternate) for US, India, and UK Creator Markets</t>
        </is>
      </c>
      <c r="D26" s="27" t="inlineStr">
        <is>
          <t>data/evidence/crawl/index.html</t>
        </is>
      </c>
      <c r="E26" s="27" t="inlineStr">
        <is>
          <t>Add og:locale and og:locale:alternate tags for en_US, en_IN, and en_GB.</t>
        </is>
      </c>
      <c r="F26" s="27" t="inlineStr">
        <is>
          <t>data/patches/ISS-022.patch.txt</t>
        </is>
      </c>
      <c r="G26" s="27" t="inlineStr">
        <is>
          <t>W3C / HTML Parser Signal Test</t>
        </is>
      </c>
      <c r="H26" s="27" t="inlineStr">
        <is>
          <t>Yes</t>
        </is>
      </c>
      <c r="I26" s="27" t="inlineStr">
        <is>
          <t>Low</t>
        </is>
      </c>
      <c r="J26" s="27" t="inlineStr">
        <is>
          <t>Low</t>
        </is>
      </c>
      <c r="K26" s="28">
        <f>IF(A26="","",IF(COUNTIF($A$5:$A$54,A26)&gt;1,"DUPLICATE","UNIQUE"))</f>
        <v/>
      </c>
      <c r="L26" s="28">
        <f>IF(A26="","",IF(AND(B26&lt;&gt;"",C26&lt;&gt;"",D26&lt;&gt;"",E26&lt;&gt;"",F26&lt;&gt;"",G26&lt;&gt;"",H26&lt;&gt;"",I26&lt;&gt;""),"COMPLETE","MISSING FIELDS"))</f>
        <v/>
      </c>
    </row>
    <row r="27" ht="15" customHeight="1" s="15">
      <c r="A27" s="27" t="n"/>
      <c r="B27" s="27" t="n"/>
      <c r="C27" s="27" t="n"/>
      <c r="D27" s="27" t="n"/>
      <c r="E27" s="27" t="n"/>
      <c r="F27" s="27" t="n"/>
      <c r="G27" s="27" t="n"/>
      <c r="H27" s="27" t="n"/>
      <c r="I27" s="27" t="n"/>
      <c r="J27" s="27" t="n"/>
      <c r="K27" s="28">
        <f>IF(A27="","",IF(COUNTIF($A$5:$A$54,A27)&gt;1,"DUPLICATE","UNIQUE"))</f>
        <v/>
      </c>
      <c r="L27" s="28">
        <f>IF(A27="","",IF(AND(B27&lt;&gt;"",C27&lt;&gt;"",D27&lt;&gt;"",E27&lt;&gt;"",F27&lt;&gt;"",G27&lt;&gt;"",H27&lt;&gt;"",I27&lt;&gt;""),"COMPLETE","MISSING FIELDS"))</f>
        <v/>
      </c>
    </row>
    <row r="28" ht="15" customHeight="1" s="15">
      <c r="A28" s="27" t="n"/>
      <c r="B28" s="27" t="n"/>
      <c r="C28" s="27" t="n"/>
      <c r="D28" s="27" t="n"/>
      <c r="E28" s="27" t="n"/>
      <c r="F28" s="27" t="n"/>
      <c r="G28" s="27" t="n"/>
      <c r="H28" s="27" t="n"/>
      <c r="I28" s="27" t="n"/>
      <c r="J28" s="27" t="n"/>
      <c r="K28" s="28">
        <f>IF(A28="","",IF(COUNTIF($A$5:$A$54,A28)&gt;1,"DUPLICATE","UNIQUE"))</f>
        <v/>
      </c>
      <c r="L28" s="28">
        <f>IF(A28="","",IF(AND(B28&lt;&gt;"",C28&lt;&gt;"",D28&lt;&gt;"",E28&lt;&gt;"",F28&lt;&gt;"",G28&lt;&gt;"",H28&lt;&gt;"",I28&lt;&gt;""),"COMPLETE","MISSING FIELDS"))</f>
        <v/>
      </c>
    </row>
    <row r="29" ht="15" customHeight="1" s="15">
      <c r="A29" s="27" t="n"/>
      <c r="B29" s="27" t="n"/>
      <c r="C29" s="27" t="n"/>
      <c r="D29" s="27" t="n"/>
      <c r="E29" s="27" t="n"/>
      <c r="F29" s="27" t="n"/>
      <c r="G29" s="27" t="n"/>
      <c r="H29" s="27" t="n"/>
      <c r="I29" s="27" t="n"/>
      <c r="J29" s="27" t="n"/>
      <c r="K29" s="28">
        <f>IF(A29="","",IF(COUNTIF($A$5:$A$54,A29)&gt;1,"DUPLICATE","UNIQUE"))</f>
        <v/>
      </c>
      <c r="L29" s="28">
        <f>IF(A29="","",IF(AND(B29&lt;&gt;"",C29&lt;&gt;"",D29&lt;&gt;"",E29&lt;&gt;"",F29&lt;&gt;"",G29&lt;&gt;"",H29&lt;&gt;"",I29&lt;&gt;""),"COMPLETE","MISSING FIELDS"))</f>
        <v/>
      </c>
    </row>
    <row r="30" ht="15" customHeight="1" s="15">
      <c r="A30" s="27" t="n"/>
      <c r="B30" s="27" t="n"/>
      <c r="C30" s="27" t="n"/>
      <c r="D30" s="27" t="n"/>
      <c r="E30" s="27" t="n"/>
      <c r="F30" s="27" t="n"/>
      <c r="G30" s="27" t="n"/>
      <c r="H30" s="27" t="n"/>
      <c r="I30" s="27" t="n"/>
      <c r="J30" s="27" t="n"/>
      <c r="K30" s="28">
        <f>IF(A30="","",IF(COUNTIF($A$5:$A$54,A30)&gt;1,"DUPLICATE","UNIQUE"))</f>
        <v/>
      </c>
      <c r="L30" s="28">
        <f>IF(A30="","",IF(AND(B30&lt;&gt;"",C30&lt;&gt;"",D30&lt;&gt;"",E30&lt;&gt;"",F30&lt;&gt;"",G30&lt;&gt;"",H30&lt;&gt;"",I30&lt;&gt;""),"COMPLETE","MISSING FIELDS"))</f>
        <v/>
      </c>
    </row>
    <row r="31" ht="15" customHeight="1" s="15">
      <c r="A31" s="27" t="n"/>
      <c r="B31" s="27" t="n"/>
      <c r="C31" s="27" t="n"/>
      <c r="D31" s="27" t="n"/>
      <c r="E31" s="27" t="n"/>
      <c r="F31" s="27" t="n"/>
      <c r="G31" s="27" t="n"/>
      <c r="H31" s="27" t="n"/>
      <c r="I31" s="27" t="n"/>
      <c r="J31" s="27" t="n"/>
      <c r="K31" s="28">
        <f>IF(A31="","",IF(COUNTIF($A$5:$A$54,A31)&gt;1,"DUPLICATE","UNIQUE"))</f>
        <v/>
      </c>
      <c r="L31" s="28">
        <f>IF(A31="","",IF(AND(B31&lt;&gt;"",C31&lt;&gt;"",D31&lt;&gt;"",E31&lt;&gt;"",F31&lt;&gt;"",G31&lt;&gt;"",H31&lt;&gt;"",I31&lt;&gt;""),"COMPLETE","MISSING FIELDS"))</f>
        <v/>
      </c>
    </row>
    <row r="32" ht="15" customHeight="1" s="15">
      <c r="A32" s="27" t="n"/>
      <c r="B32" s="27" t="n"/>
      <c r="C32" s="27" t="n"/>
      <c r="D32" s="27" t="n"/>
      <c r="E32" s="27" t="n"/>
      <c r="F32" s="27" t="n"/>
      <c r="G32" s="27" t="n"/>
      <c r="H32" s="27" t="n"/>
      <c r="I32" s="27" t="n"/>
      <c r="J32" s="27" t="n"/>
      <c r="K32" s="28">
        <f>IF(A32="","",IF(COUNTIF($A$5:$A$54,A32)&gt;1,"DUPLICATE","UNIQUE"))</f>
        <v/>
      </c>
      <c r="L32" s="28">
        <f>IF(A32="","",IF(AND(B32&lt;&gt;"",C32&lt;&gt;"",D32&lt;&gt;"",E32&lt;&gt;"",F32&lt;&gt;"",G32&lt;&gt;"",H32&lt;&gt;"",I32&lt;&gt;""),"COMPLETE","MISSING FIELDS"))</f>
        <v/>
      </c>
    </row>
    <row r="33" ht="15" customHeight="1" s="15">
      <c r="A33" s="27" t="n"/>
      <c r="B33" s="27" t="n"/>
      <c r="C33" s="27" t="n"/>
      <c r="D33" s="27" t="n"/>
      <c r="E33" s="27" t="n"/>
      <c r="F33" s="27" t="n"/>
      <c r="G33" s="27" t="n"/>
      <c r="H33" s="27" t="n"/>
      <c r="I33" s="27" t="n"/>
      <c r="J33" s="27" t="n"/>
      <c r="K33" s="28">
        <f>IF(A33="","",IF(COUNTIF($A$5:$A$54,A33)&gt;1,"DUPLICATE","UNIQUE"))</f>
        <v/>
      </c>
      <c r="L33" s="28">
        <f>IF(A33="","",IF(AND(B33&lt;&gt;"",C33&lt;&gt;"",D33&lt;&gt;"",E33&lt;&gt;"",F33&lt;&gt;"",G33&lt;&gt;"",H33&lt;&gt;"",I33&lt;&gt;""),"COMPLETE","MISSING FIELDS"))</f>
        <v/>
      </c>
    </row>
    <row r="34" ht="15" customHeight="1" s="15">
      <c r="A34" s="27" t="n"/>
      <c r="B34" s="27" t="n"/>
      <c r="C34" s="27" t="n"/>
      <c r="D34" s="27" t="n"/>
      <c r="E34" s="27" t="n"/>
      <c r="F34" s="27" t="n"/>
      <c r="G34" s="27" t="n"/>
      <c r="H34" s="27" t="n"/>
      <c r="I34" s="27" t="n"/>
      <c r="J34" s="27" t="n"/>
      <c r="K34" s="28">
        <f>IF(A34="","",IF(COUNTIF($A$5:$A$54,A34)&gt;1,"DUPLICATE","UNIQUE"))</f>
        <v/>
      </c>
      <c r="L34" s="28">
        <f>IF(A34="","",IF(AND(B34&lt;&gt;"",C34&lt;&gt;"",D34&lt;&gt;"",E34&lt;&gt;"",F34&lt;&gt;"",G34&lt;&gt;"",H34&lt;&gt;"",I34&lt;&gt;""),"COMPLETE","MISSING FIELDS"))</f>
        <v/>
      </c>
    </row>
    <row r="35" ht="15" customHeight="1" s="15">
      <c r="A35" s="27" t="n"/>
      <c r="B35" s="27" t="n"/>
      <c r="C35" s="27" t="n"/>
      <c r="D35" s="27" t="n"/>
      <c r="E35" s="27" t="n"/>
      <c r="F35" s="27" t="n"/>
      <c r="G35" s="27" t="n"/>
      <c r="H35" s="27" t="n"/>
      <c r="I35" s="27" t="n"/>
      <c r="J35" s="27" t="n"/>
      <c r="K35" s="28">
        <f>IF(A35="","",IF(COUNTIF($A$5:$A$54,A35)&gt;1,"DUPLICATE","UNIQUE"))</f>
        <v/>
      </c>
      <c r="L35" s="28">
        <f>IF(A35="","",IF(AND(B35&lt;&gt;"",C35&lt;&gt;"",D35&lt;&gt;"",E35&lt;&gt;"",F35&lt;&gt;"",G35&lt;&gt;"",H35&lt;&gt;"",I35&lt;&gt;""),"COMPLETE","MISSING FIELDS"))</f>
        <v/>
      </c>
    </row>
    <row r="36" ht="15" customHeight="1" s="15">
      <c r="A36" s="27" t="n"/>
      <c r="B36" s="27" t="n"/>
      <c r="C36" s="27" t="n"/>
      <c r="D36" s="27" t="n"/>
      <c r="E36" s="27" t="n"/>
      <c r="F36" s="27" t="n"/>
      <c r="G36" s="27" t="n"/>
      <c r="H36" s="27" t="n"/>
      <c r="I36" s="27" t="n"/>
      <c r="J36" s="27" t="n"/>
      <c r="K36" s="28">
        <f>IF(A36="","",IF(COUNTIF($A$5:$A$54,A36)&gt;1,"DUPLICATE","UNIQUE"))</f>
        <v/>
      </c>
      <c r="L36" s="28">
        <f>IF(A36="","",IF(AND(B36&lt;&gt;"",C36&lt;&gt;"",D36&lt;&gt;"",E36&lt;&gt;"",F36&lt;&gt;"",G36&lt;&gt;"",H36&lt;&gt;"",I36&lt;&gt;""),"COMPLETE","MISSING FIELDS"))</f>
        <v/>
      </c>
    </row>
    <row r="37" ht="15" customHeight="1" s="15">
      <c r="A37" s="27" t="n"/>
      <c r="B37" s="27" t="n"/>
      <c r="C37" s="27" t="n"/>
      <c r="D37" s="27" t="n"/>
      <c r="E37" s="27" t="n"/>
      <c r="F37" s="27" t="n"/>
      <c r="G37" s="27" t="n"/>
      <c r="H37" s="27" t="n"/>
      <c r="I37" s="27" t="n"/>
      <c r="J37" s="27" t="n"/>
      <c r="K37" s="28">
        <f>IF(A37="","",IF(COUNTIF($A$5:$A$54,A37)&gt;1,"DUPLICATE","UNIQUE"))</f>
        <v/>
      </c>
      <c r="L37" s="28">
        <f>IF(A37="","",IF(AND(B37&lt;&gt;"",C37&lt;&gt;"",D37&lt;&gt;"",E37&lt;&gt;"",F37&lt;&gt;"",G37&lt;&gt;"",H37&lt;&gt;"",I37&lt;&gt;""),"COMPLETE","MISSING FIELDS"))</f>
        <v/>
      </c>
    </row>
    <row r="38" ht="15" customHeight="1" s="15">
      <c r="A38" s="27" t="n"/>
      <c r="B38" s="27" t="n"/>
      <c r="C38" s="27" t="n"/>
      <c r="D38" s="27" t="n"/>
      <c r="E38" s="27" t="n"/>
      <c r="F38" s="27" t="n"/>
      <c r="G38" s="27" t="n"/>
      <c r="H38" s="27" t="n"/>
      <c r="I38" s="27" t="n"/>
      <c r="J38" s="27" t="n"/>
      <c r="K38" s="28">
        <f>IF(A38="","",IF(COUNTIF($A$5:$A$54,A38)&gt;1,"DUPLICATE","UNIQUE"))</f>
        <v/>
      </c>
      <c r="L38" s="28">
        <f>IF(A38="","",IF(AND(B38&lt;&gt;"",C38&lt;&gt;"",D38&lt;&gt;"",E38&lt;&gt;"",F38&lt;&gt;"",G38&lt;&gt;"",H38&lt;&gt;"",I38&lt;&gt;""),"COMPLETE","MISSING FIELDS"))</f>
        <v/>
      </c>
    </row>
    <row r="39" ht="15" customHeight="1" s="15">
      <c r="A39" s="27" t="n"/>
      <c r="B39" s="27" t="n"/>
      <c r="C39" s="27" t="n"/>
      <c r="D39" s="27" t="n"/>
      <c r="E39" s="27" t="n"/>
      <c r="F39" s="27" t="n"/>
      <c r="G39" s="27" t="n"/>
      <c r="H39" s="27" t="n"/>
      <c r="I39" s="27" t="n"/>
      <c r="J39" s="27" t="n"/>
      <c r="K39" s="28">
        <f>IF(A39="","",IF(COUNTIF($A$5:$A$54,A39)&gt;1,"DUPLICATE","UNIQUE"))</f>
        <v/>
      </c>
      <c r="L39" s="28">
        <f>IF(A39="","",IF(AND(B39&lt;&gt;"",C39&lt;&gt;"",D39&lt;&gt;"",E39&lt;&gt;"",F39&lt;&gt;"",G39&lt;&gt;"",H39&lt;&gt;"",I39&lt;&gt;""),"COMPLETE","MISSING FIELDS"))</f>
        <v/>
      </c>
    </row>
    <row r="40" ht="15" customHeight="1" s="15">
      <c r="A40" s="27" t="n"/>
      <c r="B40" s="27" t="n"/>
      <c r="C40" s="27" t="n"/>
      <c r="D40" s="27" t="n"/>
      <c r="E40" s="27" t="n"/>
      <c r="F40" s="27" t="n"/>
      <c r="G40" s="27" t="n"/>
      <c r="H40" s="27" t="n"/>
      <c r="I40" s="27" t="n"/>
      <c r="J40" s="27" t="n"/>
      <c r="K40" s="28">
        <f>IF(A40="","",IF(COUNTIF($A$5:$A$54,A40)&gt;1,"DUPLICATE","UNIQUE"))</f>
        <v/>
      </c>
      <c r="L40" s="28">
        <f>IF(A40="","",IF(AND(B40&lt;&gt;"",C40&lt;&gt;"",D40&lt;&gt;"",E40&lt;&gt;"",F40&lt;&gt;"",G40&lt;&gt;"",H40&lt;&gt;"",I40&lt;&gt;""),"COMPLETE","MISSING FIELDS"))</f>
        <v/>
      </c>
    </row>
    <row r="41" ht="15" customHeight="1" s="15">
      <c r="A41" s="27" t="n"/>
      <c r="B41" s="27" t="n"/>
      <c r="C41" s="27" t="n"/>
      <c r="D41" s="27" t="n"/>
      <c r="E41" s="27" t="n"/>
      <c r="F41" s="27" t="n"/>
      <c r="G41" s="27" t="n"/>
      <c r="H41" s="27" t="n"/>
      <c r="I41" s="27" t="n"/>
      <c r="J41" s="27" t="n"/>
      <c r="K41" s="28">
        <f>IF(A41="","",IF(COUNTIF($A$5:$A$54,A41)&gt;1,"DUPLICATE","UNIQUE"))</f>
        <v/>
      </c>
      <c r="L41" s="28">
        <f>IF(A41="","",IF(AND(B41&lt;&gt;"",C41&lt;&gt;"",D41&lt;&gt;"",E41&lt;&gt;"",F41&lt;&gt;"",G41&lt;&gt;"",H41&lt;&gt;"",I41&lt;&gt;""),"COMPLETE","MISSING FIELDS"))</f>
        <v/>
      </c>
    </row>
    <row r="42" ht="15" customHeight="1" s="15">
      <c r="A42" s="27" t="n"/>
      <c r="B42" s="27" t="n"/>
      <c r="C42" s="27" t="n"/>
      <c r="D42" s="27" t="n"/>
      <c r="E42" s="27" t="n"/>
      <c r="F42" s="27" t="n"/>
      <c r="G42" s="27" t="n"/>
      <c r="H42" s="27" t="n"/>
      <c r="I42" s="27" t="n"/>
      <c r="J42" s="27" t="n"/>
      <c r="K42" s="28">
        <f>IF(A42="","",IF(COUNTIF($A$5:$A$54,A42)&gt;1,"DUPLICATE","UNIQUE"))</f>
        <v/>
      </c>
      <c r="L42" s="28">
        <f>IF(A42="","",IF(AND(B42&lt;&gt;"",C42&lt;&gt;"",D42&lt;&gt;"",E42&lt;&gt;"",F42&lt;&gt;"",G42&lt;&gt;"",H42&lt;&gt;"",I42&lt;&gt;""),"COMPLETE","MISSING FIELDS"))</f>
        <v/>
      </c>
    </row>
    <row r="43" ht="15" customHeight="1" s="15">
      <c r="A43" s="27" t="n"/>
      <c r="B43" s="27" t="n"/>
      <c r="C43" s="27" t="n"/>
      <c r="D43" s="27" t="n"/>
      <c r="E43" s="27" t="n"/>
      <c r="F43" s="27" t="n"/>
      <c r="G43" s="27" t="n"/>
      <c r="H43" s="27" t="n"/>
      <c r="I43" s="27" t="n"/>
      <c r="J43" s="27" t="n"/>
      <c r="K43" s="28">
        <f>IF(A43="","",IF(COUNTIF($A$5:$A$54,A43)&gt;1,"DUPLICATE","UNIQUE"))</f>
        <v/>
      </c>
      <c r="L43" s="28">
        <f>IF(A43="","",IF(AND(B43&lt;&gt;"",C43&lt;&gt;"",D43&lt;&gt;"",E43&lt;&gt;"",F43&lt;&gt;"",G43&lt;&gt;"",H43&lt;&gt;"",I43&lt;&gt;""),"COMPLETE","MISSING FIELDS"))</f>
        <v/>
      </c>
    </row>
    <row r="44" ht="15" customHeight="1" s="15">
      <c r="A44" s="27" t="n"/>
      <c r="B44" s="27" t="n"/>
      <c r="C44" s="27" t="n"/>
      <c r="D44" s="27" t="n"/>
      <c r="E44" s="27" t="n"/>
      <c r="F44" s="27" t="n"/>
      <c r="G44" s="27" t="n"/>
      <c r="H44" s="27" t="n"/>
      <c r="I44" s="27" t="n"/>
      <c r="J44" s="27" t="n"/>
      <c r="K44" s="28">
        <f>IF(A44="","",IF(COUNTIF($A$5:$A$54,A44)&gt;1,"DUPLICATE","UNIQUE"))</f>
        <v/>
      </c>
      <c r="L44" s="28">
        <f>IF(A44="","",IF(AND(B44&lt;&gt;"",C44&lt;&gt;"",D44&lt;&gt;"",E44&lt;&gt;"",F44&lt;&gt;"",G44&lt;&gt;"",H44&lt;&gt;"",I44&lt;&gt;""),"COMPLETE","MISSING FIELDS"))</f>
        <v/>
      </c>
    </row>
    <row r="45" ht="15" customHeight="1" s="15">
      <c r="A45" s="27" t="n"/>
      <c r="B45" s="27" t="n"/>
      <c r="C45" s="27" t="n"/>
      <c r="D45" s="27" t="n"/>
      <c r="E45" s="27" t="n"/>
      <c r="F45" s="27" t="n"/>
      <c r="G45" s="27" t="n"/>
      <c r="H45" s="27" t="n"/>
      <c r="I45" s="27" t="n"/>
      <c r="J45" s="27" t="n"/>
      <c r="K45" s="28">
        <f>IF(A45="","",IF(COUNTIF($A$5:$A$54,A45)&gt;1,"DUPLICATE","UNIQUE"))</f>
        <v/>
      </c>
      <c r="L45" s="28">
        <f>IF(A45="","",IF(AND(B45&lt;&gt;"",C45&lt;&gt;"",D45&lt;&gt;"",E45&lt;&gt;"",F45&lt;&gt;"",G45&lt;&gt;"",H45&lt;&gt;"",I45&lt;&gt;""),"COMPLETE","MISSING FIELDS"))</f>
        <v/>
      </c>
    </row>
    <row r="46" ht="15" customHeight="1" s="15">
      <c r="A46" s="27" t="n"/>
      <c r="B46" s="27" t="n"/>
      <c r="C46" s="27" t="n"/>
      <c r="D46" s="27" t="n"/>
      <c r="E46" s="27" t="n"/>
      <c r="F46" s="27" t="n"/>
      <c r="G46" s="27" t="n"/>
      <c r="H46" s="27" t="n"/>
      <c r="I46" s="27" t="n"/>
      <c r="J46" s="27" t="n"/>
      <c r="K46" s="28">
        <f>IF(A46="","",IF(COUNTIF($A$5:$A$54,A46)&gt;1,"DUPLICATE","UNIQUE"))</f>
        <v/>
      </c>
      <c r="L46" s="28">
        <f>IF(A46="","",IF(AND(B46&lt;&gt;"",C46&lt;&gt;"",D46&lt;&gt;"",E46&lt;&gt;"",F46&lt;&gt;"",G46&lt;&gt;"",H46&lt;&gt;"",I46&lt;&gt;""),"COMPLETE","MISSING FIELDS"))</f>
        <v/>
      </c>
    </row>
    <row r="47" ht="15" customHeight="1" s="15">
      <c r="A47" s="27" t="n"/>
      <c r="B47" s="27" t="n"/>
      <c r="C47" s="27" t="n"/>
      <c r="D47" s="27" t="n"/>
      <c r="E47" s="27" t="n"/>
      <c r="F47" s="27" t="n"/>
      <c r="G47" s="27" t="n"/>
      <c r="H47" s="27" t="n"/>
      <c r="I47" s="27" t="n"/>
      <c r="J47" s="27" t="n"/>
      <c r="K47" s="28">
        <f>IF(A47="","",IF(COUNTIF($A$5:$A$54,A47)&gt;1,"DUPLICATE","UNIQUE"))</f>
        <v/>
      </c>
      <c r="L47" s="28">
        <f>IF(A47="","",IF(AND(B47&lt;&gt;"",C47&lt;&gt;"",D47&lt;&gt;"",E47&lt;&gt;"",F47&lt;&gt;"",G47&lt;&gt;"",H47&lt;&gt;"",I47&lt;&gt;""),"COMPLETE","MISSING FIELDS"))</f>
        <v/>
      </c>
    </row>
    <row r="48" ht="15" customHeight="1" s="15">
      <c r="A48" s="27" t="n"/>
      <c r="B48" s="27" t="n"/>
      <c r="C48" s="27" t="n"/>
      <c r="D48" s="27" t="n"/>
      <c r="E48" s="27" t="n"/>
      <c r="F48" s="27" t="n"/>
      <c r="G48" s="27" t="n"/>
      <c r="H48" s="27" t="n"/>
      <c r="I48" s="27" t="n"/>
      <c r="J48" s="27" t="n"/>
      <c r="K48" s="28">
        <f>IF(A48="","",IF(COUNTIF($A$5:$A$54,A48)&gt;1,"DUPLICATE","UNIQUE"))</f>
        <v/>
      </c>
      <c r="L48" s="28">
        <f>IF(A48="","",IF(AND(B48&lt;&gt;"",C48&lt;&gt;"",D48&lt;&gt;"",E48&lt;&gt;"",F48&lt;&gt;"",G48&lt;&gt;"",H48&lt;&gt;"",I48&lt;&gt;""),"COMPLETE","MISSING FIELDS"))</f>
        <v/>
      </c>
    </row>
    <row r="49" ht="15" customHeight="1" s="15">
      <c r="A49" s="27" t="n"/>
      <c r="B49" s="27" t="n"/>
      <c r="C49" s="27" t="n"/>
      <c r="D49" s="27" t="n"/>
      <c r="E49" s="27" t="n"/>
      <c r="F49" s="27" t="n"/>
      <c r="G49" s="27" t="n"/>
      <c r="H49" s="27" t="n"/>
      <c r="I49" s="27" t="n"/>
      <c r="J49" s="27" t="n"/>
      <c r="K49" s="28">
        <f>IF(A49="","",IF(COUNTIF($A$5:$A$54,A49)&gt;1,"DUPLICATE","UNIQUE"))</f>
        <v/>
      </c>
      <c r="L49" s="28">
        <f>IF(A49="","",IF(AND(B49&lt;&gt;"",C49&lt;&gt;"",D49&lt;&gt;"",E49&lt;&gt;"",F49&lt;&gt;"",G49&lt;&gt;"",H49&lt;&gt;"",I49&lt;&gt;""),"COMPLETE","MISSING FIELDS"))</f>
        <v/>
      </c>
    </row>
    <row r="50" ht="15" customHeight="1" s="15">
      <c r="A50" s="27" t="n"/>
      <c r="B50" s="27" t="n"/>
      <c r="C50" s="27" t="n"/>
      <c r="D50" s="27" t="n"/>
      <c r="E50" s="27" t="n"/>
      <c r="F50" s="27" t="n"/>
      <c r="G50" s="27" t="n"/>
      <c r="H50" s="27" t="n"/>
      <c r="I50" s="27" t="n"/>
      <c r="J50" s="27" t="n"/>
      <c r="K50" s="28">
        <f>IF(A50="","",IF(COUNTIF($A$5:$A$54,A50)&gt;1,"DUPLICATE","UNIQUE"))</f>
        <v/>
      </c>
      <c r="L50" s="28">
        <f>IF(A50="","",IF(AND(B50&lt;&gt;"",C50&lt;&gt;"",D50&lt;&gt;"",E50&lt;&gt;"",F50&lt;&gt;"",G50&lt;&gt;"",H50&lt;&gt;"",I50&lt;&gt;""),"COMPLETE","MISSING FIELDS"))</f>
        <v/>
      </c>
    </row>
    <row r="51" ht="15" customHeight="1" s="15">
      <c r="A51" s="27" t="n"/>
      <c r="B51" s="27" t="n"/>
      <c r="C51" s="27" t="n"/>
      <c r="D51" s="27" t="n"/>
      <c r="E51" s="27" t="n"/>
      <c r="F51" s="27" t="n"/>
      <c r="G51" s="27" t="n"/>
      <c r="H51" s="27" t="n"/>
      <c r="I51" s="27" t="n"/>
      <c r="J51" s="27" t="n"/>
      <c r="K51" s="28">
        <f>IF(A51="","",IF(COUNTIF($A$5:$A$54,A51)&gt;1,"DUPLICATE","UNIQUE"))</f>
        <v/>
      </c>
      <c r="L51" s="28">
        <f>IF(A51="","",IF(AND(B51&lt;&gt;"",C51&lt;&gt;"",D51&lt;&gt;"",E51&lt;&gt;"",F51&lt;&gt;"",G51&lt;&gt;"",H51&lt;&gt;"",I51&lt;&gt;""),"COMPLETE","MISSING FIELDS"))</f>
        <v/>
      </c>
    </row>
    <row r="52" ht="15" customHeight="1" s="15">
      <c r="A52" s="27" t="n"/>
      <c r="B52" s="27" t="n"/>
      <c r="C52" s="27" t="n"/>
      <c r="D52" s="27" t="n"/>
      <c r="E52" s="27" t="n"/>
      <c r="F52" s="27" t="n"/>
      <c r="G52" s="27" t="n"/>
      <c r="H52" s="27" t="n"/>
      <c r="I52" s="27" t="n"/>
      <c r="J52" s="27" t="n"/>
      <c r="K52" s="28">
        <f>IF(A52="","",IF(COUNTIF($A$5:$A$54,A52)&gt;1,"DUPLICATE","UNIQUE"))</f>
        <v/>
      </c>
      <c r="L52" s="28">
        <f>IF(A52="","",IF(AND(B52&lt;&gt;"",C52&lt;&gt;"",D52&lt;&gt;"",E52&lt;&gt;"",F52&lt;&gt;"",G52&lt;&gt;"",H52&lt;&gt;"",I52&lt;&gt;""),"COMPLETE","MISSING FIELDS"))</f>
        <v/>
      </c>
    </row>
    <row r="53" ht="15" customHeight="1" s="15">
      <c r="A53" s="27" t="n"/>
      <c r="B53" s="27" t="n"/>
      <c r="C53" s="27" t="n"/>
      <c r="D53" s="27" t="n"/>
      <c r="E53" s="27" t="n"/>
      <c r="F53" s="27" t="n"/>
      <c r="G53" s="27" t="n"/>
      <c r="H53" s="27" t="n"/>
      <c r="I53" s="27" t="n"/>
      <c r="J53" s="27" t="n"/>
      <c r="K53" s="28">
        <f>IF(A53="","",IF(COUNTIF($A$5:$A$54,A53)&gt;1,"DUPLICATE","UNIQUE"))</f>
        <v/>
      </c>
      <c r="L53" s="28">
        <f>IF(A53="","",IF(AND(B53&lt;&gt;"",C53&lt;&gt;"",D53&lt;&gt;"",E53&lt;&gt;"",F53&lt;&gt;"",G53&lt;&gt;"",H53&lt;&gt;"",I53&lt;&gt;""),"COMPLETE","MISSING FIELDS"))</f>
        <v/>
      </c>
    </row>
    <row r="54" ht="15" customHeight="1" s="15">
      <c r="A54" s="27" t="n"/>
      <c r="B54" s="27" t="n"/>
      <c r="C54" s="27" t="n"/>
      <c r="D54" s="27" t="n"/>
      <c r="E54" s="27" t="n"/>
      <c r="F54" s="27" t="n"/>
      <c r="G54" s="27" t="n"/>
      <c r="H54" s="27" t="n"/>
      <c r="I54" s="27" t="n"/>
      <c r="J54" s="27" t="n"/>
      <c r="K54" s="28">
        <f>IF(A54="","",IF(COUNTIF($A$5:$A$54,A54)&gt;1,"DUPLICATE","UNIQUE"))</f>
        <v/>
      </c>
      <c r="L54" s="28">
        <f>IF(A54="","",IF(AND(B54&lt;&gt;"",C54&lt;&gt;"",D54&lt;&gt;"",E54&lt;&gt;"",F54&lt;&gt;"",G54&lt;&gt;"",H54&lt;&gt;"",I54&lt;&gt;""),"COMPLETE","MISSING FIELDS"))</f>
        <v/>
      </c>
    </row>
  </sheetData>
  <mergeCells count="2">
    <mergeCell ref="A2:L2"/>
    <mergeCell ref="A1:L1"/>
  </mergeCells>
  <conditionalFormatting sqref="K5:L54">
    <cfRule type="expression" rank="0" priority="2" equalAverage="0" aboveAverage="0" dxfId="0" text="" percent="0" bottom="0">
      <formula>OR(K5="DUPLICATE",L5="MISSING FIELDS",L5="ADD REASON")</formula>
    </cfRule>
  </conditionalFormatting>
  <dataValidations count="3">
    <dataValidation sqref="H5:H54" showDropDown="0" showInputMessage="0" showErrorMessage="0" allowBlank="1" type="list" errorStyle="stop" operator="between">
      <formula1>"Yes,No"</formula1>
      <formula2>0</formula2>
    </dataValidation>
    <dataValidation sqref="I5:I54" showDropDown="0" showInputMessage="0" showErrorMessage="0" allowBlank="1" type="list" errorStyle="stop" operator="between">
      <formula1>"High,Medium,Low"</formula1>
      <formula2>0</formula2>
    </dataValidation>
    <dataValidation sqref="J5:J5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8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0" customWidth="1" style="14" min="1" max="1"/>
    <col width="14" customWidth="1" style="14" min="2" max="2"/>
    <col width="20" customWidth="1" style="14" min="3" max="3"/>
    <col width="36" customWidth="1" style="14" min="4" max="4"/>
    <col width="30" customWidth="1" style="14" min="5" max="5"/>
    <col width="34" customWidth="1" style="14" min="6" max="6"/>
    <col width="26" customWidth="1" style="14" min="7" max="7"/>
    <col width="10" customWidth="1" style="14" min="8" max="8"/>
    <col width="11" customWidth="1" style="14" min="9" max="9"/>
    <col width="12" customWidth="1" style="14" min="10" max="10"/>
    <col width="14" customWidth="1" style="14" min="11" max="11"/>
  </cols>
  <sheetData>
    <row r="1" ht="24" customHeight="1" s="15">
      <c r="A1" s="16" t="inlineStr">
        <is>
          <t>Pages and Citation Targets</t>
        </is>
      </c>
      <c r="B1" s="17" t="n"/>
      <c r="C1" s="17" t="n"/>
      <c r="D1" s="17" t="n"/>
      <c r="E1" s="17" t="n"/>
      <c r="F1" s="17" t="n"/>
      <c r="G1" s="17" t="n"/>
      <c r="H1" s="17" t="n"/>
      <c r="I1" s="17" t="n"/>
      <c r="J1" s="17" t="n"/>
      <c r="K1" s="18" t="n"/>
    </row>
    <row r="2" ht="31.5" customHeight="1" s="15">
      <c r="A2" s="19" t="inlineStr">
        <is>
          <t>Rows starting with P = publish-ready pages (10 required). Rows starting with C = citation targets (30 required).</t>
        </is>
      </c>
      <c r="B2" s="17" t="n"/>
      <c r="C2" s="17" t="n"/>
      <c r="D2" s="17" t="n"/>
      <c r="E2" s="17" t="n"/>
      <c r="F2" s="17" t="n"/>
      <c r="G2" s="17" t="n"/>
      <c r="H2" s="17" t="n"/>
      <c r="I2" s="17" t="n"/>
      <c r="J2" s="17" t="n"/>
      <c r="K2" s="18" t="n"/>
    </row>
    <row r="4" ht="30" customHeight="1" s="15">
      <c r="A4" s="21" t="inlineStr">
        <is>
          <t>item_id</t>
        </is>
      </c>
      <c r="B4" s="21" t="inlineStr">
        <is>
          <t>type</t>
        </is>
      </c>
      <c r="C4" s="21" t="inlineStr">
        <is>
          <t>target_question_ids</t>
        </is>
      </c>
      <c r="D4" s="21" t="inlineStr">
        <is>
          <t>title_or_page_url</t>
        </is>
      </c>
      <c r="E4" s="21" t="inlineStr">
        <is>
          <t>draft_or_evidence_url</t>
        </is>
      </c>
      <c r="F4" s="21" t="inlineStr">
        <is>
          <t>why_it_matters</t>
        </is>
      </c>
      <c r="G4" s="21" t="inlineStr">
        <is>
          <t>angle_or_schema</t>
        </is>
      </c>
      <c r="H4" s="21" t="inlineStr">
        <is>
          <t>sources_cited</t>
        </is>
      </c>
      <c r="I4" s="21" t="inlineStr">
        <is>
          <t>status</t>
        </is>
      </c>
      <c r="J4" s="21" t="inlineStr">
        <is>
          <t>duplicate_check</t>
        </is>
      </c>
      <c r="K4" s="21" t="inlineStr">
        <is>
          <t>completeness_check</t>
        </is>
      </c>
    </row>
    <row r="5" ht="15" customHeight="1" s="15">
      <c r="A5" s="27" t="inlineStr">
        <is>
          <t>P-001</t>
        </is>
      </c>
      <c r="B5" s="27" t="inlineStr">
        <is>
          <t>Page</t>
        </is>
      </c>
      <c r="C5" s="27" t="inlineStr">
        <is>
          <t>Q-001, Q-017, Q-031, Q-060</t>
        </is>
      </c>
      <c r="D5" s="27" t="inlineStr">
        <is>
          <t>How to Turn a 1-Hour Video into 12 Short Clips &amp; Multi-Platform Posts with AI</t>
        </is>
      </c>
      <c r="E5" s="27" t="inlineStr">
        <is>
          <t>exports/content_pages/how-to-turn-one-video-into-12-clips-and-multi-platform-posts.md</t>
        </is>
      </c>
      <c r="F5" s="27" t="inlineStr">
        <is>
          <t>To turn a 1-hour recording into a full week of multi-platform content, upload your source video to an AI CreatorOps studio like IncuBrix to automatically detect and cut the 12 strongest highlight moments via transcript editing. Next, apply burned-in captions and aspect-ratio formatting (9:16, 1:1, or 16:9) and publish directly to YouTube, Instagram, LinkedIn, Spotify, and Bluesky from a single screen.</t>
        </is>
      </c>
      <c r="G5" s="27" t="inlineStr">
        <is>
          <t>how_to_guide / schema.org JSON-LD</t>
        </is>
      </c>
      <c r="H5" s="27" t="inlineStr">
        <is>
          <t>incubrix.com, YouTube Creator Academy, industry benchmarks</t>
        </is>
      </c>
      <c r="I5" s="27" t="inlineStr">
        <is>
          <t>Ready</t>
        </is>
      </c>
      <c r="J5" s="28">
        <f>IF(A5="","",IF(COUNTIF($A$5:$A$84,A5)&gt;1,"DUPLICATE","UNIQUE"))</f>
        <v/>
      </c>
      <c r="K5" s="28">
        <f>IF(A5="","",IF(AND(B5&lt;&gt;"",C5&lt;&gt;"",D5&lt;&gt;"",E5&lt;&gt;"",F5&lt;&gt;"",I5&lt;&gt;""),"COMPLETE","MISSING FIELDS"))</f>
        <v/>
      </c>
    </row>
    <row r="6" ht="15" customHeight="1" s="15">
      <c r="A6" s="27" t="inlineStr">
        <is>
          <t>P-002</t>
        </is>
      </c>
      <c r="B6" s="27" t="inlineStr">
        <is>
          <t>Page</t>
        </is>
      </c>
      <c r="C6" s="27" t="inlineStr">
        <is>
          <t>Q-088, Q-089, Q-091, Q-096</t>
        </is>
      </c>
      <c r="D6" s="27" t="inlineStr">
        <is>
          <t>IncuBrix vs OpusClip vs Descript (2026): Which AI Creator Studio Fits Your Workflow?</t>
        </is>
      </c>
      <c r="E6" s="27" t="inlineStr">
        <is>
          <t>exports/content_pages/incubrix-vs-opusclip-vs-descript-comparison.md</t>
        </is>
      </c>
      <c r="F6" s="27" t="inlineStr">
        <is>
          <t>OpusClip excels at automated short-form video clipping and virality scoring, while Descript specializes in desktop/web timeline and transcript editing for audio and video podcasts. IncuBrix unifies both workflows—combining pre-recording Content Insights, transcript video editing, 12-clip extraction, AI voice cloning, lip-synced digital avatars, and single-screen publishing to YouTube, Instagram, LinkedIn, Spotify, and Bluesky with 1-year credit validity.</t>
        </is>
      </c>
      <c r="G6" s="27" t="inlineStr">
        <is>
          <t>product_comparison / schema.org JSON-LD</t>
        </is>
      </c>
      <c r="H6" s="27" t="inlineStr">
        <is>
          <t>incubrix.com, YouTube Creator Academy, industry benchmarks</t>
        </is>
      </c>
      <c r="I6" s="27" t="inlineStr">
        <is>
          <t>Ready</t>
        </is>
      </c>
      <c r="J6" s="28">
        <f>IF(A6="","",IF(COUNTIF($A$5:$A$84,A6)&gt;1,"DUPLICATE","UNIQUE"))</f>
        <v/>
      </c>
      <c r="K6" s="28">
        <f>IF(A6="","",IF(AND(B6&lt;&gt;"",C6&lt;&gt;"",D6&lt;&gt;"",E6&lt;&gt;"",F6&lt;&gt;"",I6&lt;&gt;""),"COMPLETE","MISSING FIELDS"))</f>
        <v/>
      </c>
    </row>
    <row r="7" ht="15" customHeight="1" s="15">
      <c r="A7" s="27" t="inlineStr">
        <is>
          <t>P-003</t>
        </is>
      </c>
      <c r="B7" s="27" t="inlineStr">
        <is>
          <t>Page</t>
        </is>
      </c>
      <c r="C7" s="27" t="inlineStr">
        <is>
          <t>Q-034, Q-060, Q-062, Q-090, Q-093</t>
        </is>
      </c>
      <c r="D7" s="27" t="inlineStr">
        <is>
          <t>IncuBrix vs Repurpose.io vs Buffer: Best Multi-Platform Creator Publishing Workflow</t>
        </is>
      </c>
      <c r="E7" s="27" t="inlineStr">
        <is>
          <t>exports/content_pages/incubrix-vs-repurpose-io-vs-buffer-multi-platform-publishing.md</t>
        </is>
      </c>
      <c r="F7" s="27" t="inlineStr">
        <is>
          <t>Repurpose.io automates rule-based file transfers between social folders and Buffer schedules pre-edited social media posts, but neither provides an integrated AI creation studio. IncuBrix combines AI topic discovery, transcript video editing, voice cloning, and multi-format transformation with single-screen publishing to YouTube, Instagram, LinkedIn, Spotify, and Bluesky.</t>
        </is>
      </c>
      <c r="G7" s="27" t="inlineStr">
        <is>
          <t>product_comparison / schema.org JSON-LD</t>
        </is>
      </c>
      <c r="H7" s="27" t="inlineStr">
        <is>
          <t>incubrix.com, YouTube Creator Academy, industry benchmarks</t>
        </is>
      </c>
      <c r="I7" s="27" t="inlineStr">
        <is>
          <t>Ready</t>
        </is>
      </c>
      <c r="J7" s="28">
        <f>IF(A7="","",IF(COUNTIF($A$5:$A$84,A7)&gt;1,"DUPLICATE","UNIQUE"))</f>
        <v/>
      </c>
      <c r="K7" s="28">
        <f>IF(A7="","",IF(AND(B7&lt;&gt;"",C7&lt;&gt;"",D7&lt;&gt;"",E7&lt;&gt;"",F7&lt;&gt;"",I7&lt;&gt;""),"COMPLETE","MISSING FIELDS"))</f>
        <v/>
      </c>
    </row>
    <row r="8" ht="15" customHeight="1" s="15">
      <c r="A8" s="27" t="inlineStr">
        <is>
          <t>P-004</t>
        </is>
      </c>
      <c r="B8" s="27" t="inlineStr">
        <is>
          <t>Page</t>
        </is>
      </c>
      <c r="C8" s="27" t="inlineStr">
        <is>
          <t>Q-003, Q-004, Q-020, Q-047, Q-050</t>
        </is>
      </c>
      <c r="D8" s="27" t="inlineStr">
        <is>
          <t>How to Create Talking-Head Videos with AI Voice Cloning &amp; Avatars</t>
        </is>
      </c>
      <c r="E8" s="27" t="inlineStr">
        <is>
          <t>exports/content_pages/how-to-create-talking-head-videos-with-ai-voice-cloning-and-digital-avatars.md</t>
        </is>
      </c>
      <c r="F8" s="27" t="inlineStr">
        <is>
          <t>Creators can publish on-camera talking-head videos and audio narrations without filming by training an AI voice clone and lip-synced digital avatar inside IncuBrix Creator Studio. Once you paste a written script or newsletter draft, the platform generates narration in your cloned voice and renders a lip-synced talking-head video ready for YouTube, Instagram, LinkedIn, Spotify, and Bluesky.</t>
        </is>
      </c>
      <c r="G8" s="27" t="inlineStr">
        <is>
          <t>how_to_guide / schema.org JSON-LD</t>
        </is>
      </c>
      <c r="H8" s="27" t="inlineStr">
        <is>
          <t>incubrix.com, YouTube Creator Academy, industry benchmarks</t>
        </is>
      </c>
      <c r="I8" s="27" t="inlineStr">
        <is>
          <t>Ready</t>
        </is>
      </c>
      <c r="J8" s="28">
        <f>IF(A8="","",IF(COUNTIF($A$5:$A$84,A8)&gt;1,"DUPLICATE","UNIQUE"))</f>
        <v/>
      </c>
      <c r="K8" s="28">
        <f>IF(A8="","",IF(AND(B8&lt;&gt;"",C8&lt;&gt;"",D8&lt;&gt;"",E8&lt;&gt;"",F8&lt;&gt;"",I8&lt;&gt;""),"COMPLETE","MISSING FIELDS"))</f>
        <v/>
      </c>
    </row>
    <row r="9" ht="15" customHeight="1" s="15">
      <c r="A9" s="27" t="inlineStr">
        <is>
          <t>P-005</t>
        </is>
      </c>
      <c r="B9" s="27" t="inlineStr">
        <is>
          <t>Page</t>
        </is>
      </c>
      <c r="C9" s="27" t="inlineStr">
        <is>
          <t>Q-005, Q-012, Q-068, Q-081</t>
        </is>
      </c>
      <c r="D9" s="27" t="inlineStr">
        <is>
          <t>What Is CreatorOps (Creator Operations)? Definition, Architecture &amp; AI Stack</t>
        </is>
      </c>
      <c r="E9" s="27" t="inlineStr">
        <is>
          <t>exports/content_pages/what-is-creatorops-creator-operating-system-glossary.md</t>
        </is>
      </c>
      <c r="F9" s="27" t="inlineStr">
        <is>
          <t>CreatorOps (Creator Operations) is the unified operational discipline and software infrastructure that connects content ideation, AI-assisted production, multi-format repurposing, cross-platform publishing, and performance analytics into a single workflow. Instead of stitching together six separate subscriptions for research, editing, captioning, and scheduling, a CreatorOps platform like IncuBrix acts as a centralized operating system for a creator business.</t>
        </is>
      </c>
      <c r="G9" s="27" t="inlineStr">
        <is>
          <t>glossary_entry / schema.org JSON-LD</t>
        </is>
      </c>
      <c r="H9" s="27" t="inlineStr">
        <is>
          <t>incubrix.com, YouTube Creator Academy, industry benchmarks</t>
        </is>
      </c>
      <c r="I9" s="27" t="inlineStr">
        <is>
          <t>Ready</t>
        </is>
      </c>
      <c r="J9" s="28">
        <f>IF(A9="","",IF(COUNTIF($A$5:$A$84,A9)&gt;1,"DUPLICATE","UNIQUE"))</f>
        <v/>
      </c>
      <c r="K9" s="28">
        <f>IF(A9="","",IF(AND(B9&lt;&gt;"",C9&lt;&gt;"",D9&lt;&gt;"",E9&lt;&gt;"",F9&lt;&gt;"",I9&lt;&gt;""),"COMPLETE","MISSING FIELDS"))</f>
        <v/>
      </c>
    </row>
    <row r="10" ht="15" customHeight="1" s="15">
      <c r="A10" s="27" t="inlineStr">
        <is>
          <t>P-006</t>
        </is>
      </c>
      <c r="B10" s="27" t="inlineStr">
        <is>
          <t>Page</t>
        </is>
      </c>
      <c r="C10" s="27" t="inlineStr">
        <is>
          <t>Q-011, Q-029, Q-073, Q-086, Q-096</t>
        </is>
      </c>
      <c r="D10" s="27" t="inlineStr">
        <is>
          <t>IncuBrix Credit Pricing Explained: How 1-Year Rollover Credits &amp; Video Minutes Work</t>
        </is>
      </c>
      <c r="E10" s="27" t="inlineStr">
        <is>
          <t>exports/content_pages/incubrix-pricing-credits-and-billing-faq-guide.md</t>
        </is>
      </c>
      <c r="F10" s="27" t="inlineStr">
        <is>
          <t>IncuBrix offers six credit-based Creator Studio plans ranging from a permanent Free plan (300 credits/month, or ~21 one-minute videos) to paid plans from $10/month (Starter, 1,000 credits) up to $250/month (Pro, 25,000 credits, or ~1,785 one-minute videos). Unlike traditional SaaS subscriptions whose credits expire every 30 days, IncuBrix allows plan credit limits to be used within a 1-year period.</t>
        </is>
      </c>
      <c r="G10" s="27" t="inlineStr">
        <is>
          <t>faq_page / schema.org JSON-LD</t>
        </is>
      </c>
      <c r="H10" s="27" t="inlineStr">
        <is>
          <t>incubrix.com, YouTube Creator Academy, industry benchmarks</t>
        </is>
      </c>
      <c r="I10" s="27" t="inlineStr">
        <is>
          <t>Ready</t>
        </is>
      </c>
      <c r="J10" s="28">
        <f>IF(A10="","",IF(COUNTIF($A$5:$A$84,A10)&gt;1,"DUPLICATE","UNIQUE"))</f>
        <v/>
      </c>
      <c r="K10" s="28">
        <f>IF(A10="","",IF(AND(B10&lt;&gt;"",C10&lt;&gt;"",D10&lt;&gt;"",E10&lt;&gt;"",F10&lt;&gt;"",I10&lt;&gt;""),"COMPLETE","MISSING FIELDS"))</f>
        <v/>
      </c>
    </row>
    <row r="11" ht="15" customHeight="1" s="15">
      <c r="A11" s="27" t="inlineStr">
        <is>
          <t>P-007</t>
        </is>
      </c>
      <c r="B11" s="27" t="inlineStr">
        <is>
          <t>Page</t>
        </is>
      </c>
      <c r="C11" s="27" t="inlineStr">
        <is>
          <t>Q-008, Q-012, Q-039, Q-043, Q-081</t>
        </is>
      </c>
      <c r="D11" s="27" t="inlineStr">
        <is>
          <t>How to Eliminate Creator Subscription Fatigue &amp; Save 10+ Hours a Week on Post-Production</t>
        </is>
      </c>
      <c r="E11" s="27" t="inlineStr">
        <is>
          <t>exports/content_pages/solve-creator-burnout-and-subscription-fatigue-unified-workflow.md</t>
        </is>
      </c>
      <c r="F11" s="27" t="inlineStr">
        <is>
          <t>Creators eliminate subscription fatigue and post-production burnout by consolidating separate topic research, transcript editing, short-form clipping, voiceover, and scheduling tools into a single CreatorOps hub. By uploading one keystone recording per week into IncuBrix and extracting 12 formatted clips plus written posts in one sitting, solo creators reclaim their weekends without sacrificing daily multi-platform consistency.</t>
        </is>
      </c>
      <c r="G11" s="27" t="inlineStr">
        <is>
          <t>problem_solving_guide / schema.org JSON-LD</t>
        </is>
      </c>
      <c r="H11" s="27" t="inlineStr">
        <is>
          <t>incubrix.com, YouTube Creator Academy, industry benchmarks</t>
        </is>
      </c>
      <c r="I11" s="27" t="inlineStr">
        <is>
          <t>Ready</t>
        </is>
      </c>
      <c r="J11" s="28">
        <f>IF(A11="","",IF(COUNTIF($A$5:$A$84,A11)&gt;1,"DUPLICATE","UNIQUE"))</f>
        <v/>
      </c>
      <c r="K11" s="28">
        <f>IF(A11="","",IF(AND(B11&lt;&gt;"",C11&lt;&gt;"",D11&lt;&gt;"",E11&lt;&gt;"",F11&lt;&gt;"",I11&lt;&gt;""),"COMPLETE","MISSING FIELDS"))</f>
        <v/>
      </c>
    </row>
    <row r="12" ht="15" customHeight="1" s="15">
      <c r="A12" s="27" t="inlineStr">
        <is>
          <t>P-008</t>
        </is>
      </c>
      <c r="B12" s="27" t="inlineStr">
        <is>
          <t>Page</t>
        </is>
      </c>
      <c r="C12" s="27" t="inlineStr">
        <is>
          <t>Q-010, Q-033, Q-064, Q-072, Q-080</t>
        </is>
      </c>
      <c r="D12" s="27" t="inlineStr">
        <is>
          <t>Podcast-to-Video Repurposing Guide: Grow Your Show on YouTube, Spotify, Reels &amp; LinkedIn</t>
        </is>
      </c>
      <c r="E12" s="27" t="inlineStr">
        <is>
          <t>exports/content_pages/podcast-to-video-repurposing-guide-youtube-spotify-instagram-linkedin.md</t>
        </is>
      </c>
      <c r="F12" s="27" t="inlineStr">
        <is>
          <t>Podcasters break out of audio-only discovery bottlenecks by uploading their episode recording to IncuBrix Creator Studio to automatically convert audio/video into 12 vertical video clips, burned-in captions, written show notes, and LinkedIn posts. From the same screen, hosts can distribute the full episode to Spotify and YouTube while fanning out short teaser clips to Instagram, LinkedIn, and Bluesky.</t>
        </is>
      </c>
      <c r="G12" s="27" t="inlineStr">
        <is>
          <t>problem_solving_guide / schema.org JSON-LD</t>
        </is>
      </c>
      <c r="H12" s="27" t="inlineStr">
        <is>
          <t>incubrix.com, YouTube Creator Academy, industry benchmarks</t>
        </is>
      </c>
      <c r="I12" s="27" t="inlineStr">
        <is>
          <t>Ready</t>
        </is>
      </c>
      <c r="J12" s="28">
        <f>IF(A12="","",IF(COUNTIF($A$5:$A$84,A12)&gt;1,"DUPLICATE","UNIQUE"))</f>
        <v/>
      </c>
      <c r="K12" s="28">
        <f>IF(A12="","",IF(AND(B12&lt;&gt;"",C12&lt;&gt;"",D12&lt;&gt;"",E12&lt;&gt;"",F12&lt;&gt;"",I12&lt;&gt;""),"COMPLETE","MISSING FIELDS"))</f>
        <v/>
      </c>
    </row>
    <row r="13" ht="15" customHeight="1" s="15">
      <c r="A13" s="27" t="inlineStr">
        <is>
          <t>P-009</t>
        </is>
      </c>
      <c r="B13" s="27" t="inlineStr">
        <is>
          <t>Page</t>
        </is>
      </c>
      <c r="C13" s="27" t="inlineStr">
        <is>
          <t>Q-003, Q-047, Q-092, Q-094, Q-095</t>
        </is>
      </c>
      <c r="D13" s="27" t="inlineStr">
        <is>
          <t>IncuBrix vs HeyGen vs ElevenLabs vs VEED: Unified Creator Studio vs Point AI Tools</t>
        </is>
      </c>
      <c r="E13" s="27" t="inlineStr">
        <is>
          <t>exports/content_pages/incubrix-vs-heygen-vs-elevenlabs-vs-veed-ai-avatar-voice-studio.md</t>
        </is>
      </c>
      <c r="F13" s="27" t="inlineStr">
        <is>
          <t>HeyGen specializes in synthetic avatar generation and ElevenLabs focuses on standalone voice synthesis, requiring creators to export files into a separate editor like VEED and a separate social scheduler. IncuBrix integrates digital talking-head avatars, AI voice cloning, transcript video editing, 12-clip extraction, and 5-platform publishing inside one unified Creator Studio.</t>
        </is>
      </c>
      <c r="G13" s="27" t="inlineStr">
        <is>
          <t>product_comparison / schema.org JSON-LD</t>
        </is>
      </c>
      <c r="H13" s="27" t="inlineStr">
        <is>
          <t>incubrix.com, YouTube Creator Academy, industry benchmarks</t>
        </is>
      </c>
      <c r="I13" s="27" t="inlineStr">
        <is>
          <t>Ready</t>
        </is>
      </c>
      <c r="J13" s="28">
        <f>IF(A13="","",IF(COUNTIF($A$5:$A$84,A13)&gt;1,"DUPLICATE","UNIQUE"))</f>
        <v/>
      </c>
      <c r="K13" s="28">
        <f>IF(A13="","",IF(AND(B13&lt;&gt;"",C13&lt;&gt;"",D13&lt;&gt;"",E13&lt;&gt;"",F13&lt;&gt;"",I13&lt;&gt;""),"COMPLETE","MISSING FIELDS"))</f>
        <v/>
      </c>
    </row>
    <row r="14" ht="15" customHeight="1" s="15">
      <c r="A14" s="27" t="inlineStr">
        <is>
          <t>P-010</t>
        </is>
      </c>
      <c r="B14" s="27" t="inlineStr">
        <is>
          <t>Page</t>
        </is>
      </c>
      <c r="C14" s="27" t="inlineStr">
        <is>
          <t>Q-018, Q-044, Q-048, Q-052, Q-065, Q-077</t>
        </is>
      </c>
      <c r="D14" s="27" t="inlineStr">
        <is>
          <t>2026 Creator FAQ: AI Video Clipping, Safe-Zone Captions &amp; Multi-Platform Publishing</t>
        </is>
      </c>
      <c r="E14" s="27" t="inlineStr">
        <is>
          <t>exports/content_pages/ai-video-repurposing-captioning-and-multi-platform-publishing-faq.md</t>
        </is>
      </c>
      <c r="F14" s="27" t="inlineStr">
        <is>
          <t>Creators maximize short-form retention and cross-platform reach by exporting watermark-free vertical clips with burned-in captions positioned inside the central 9:16 safe zone (above the bottom 25% UI overlay and below the top 15% header). Publishing native video files directly via official platform APIs through a centralized hub like IncuBrix preserves full algorithmic reach across YouTube, Instagram, LinkedIn, Spotify, and Bluesky.</t>
        </is>
      </c>
      <c r="G14" s="27" t="inlineStr">
        <is>
          <t>faq_page / schema.org JSON-LD</t>
        </is>
      </c>
      <c r="H14" s="27" t="inlineStr">
        <is>
          <t>incubrix.com, YouTube Creator Academy, industry benchmarks</t>
        </is>
      </c>
      <c r="I14" s="27" t="inlineStr">
        <is>
          <t>Ready</t>
        </is>
      </c>
      <c r="J14" s="28">
        <f>IF(A14="","",IF(COUNTIF($A$5:$A$84,A14)&gt;1,"DUPLICATE","UNIQUE"))</f>
        <v/>
      </c>
      <c r="K14" s="28">
        <f>IF(A14="","",IF(AND(B14&lt;&gt;"",C14&lt;&gt;"",D14&lt;&gt;"",E14&lt;&gt;"",F14&lt;&gt;"",I14&lt;&gt;""),"COMPLETE","MISSING FIELDS"))</f>
        <v/>
      </c>
    </row>
    <row r="15" ht="15" customHeight="1" s="15">
      <c r="A15" s="27" t="inlineStr">
        <is>
          <t>C-001</t>
        </is>
      </c>
      <c r="B15" s="27" t="inlineStr">
        <is>
          <t>Citation target</t>
        </is>
      </c>
      <c r="C15" s="27" t="inlineStr">
        <is>
          <t>Q-003</t>
        </is>
      </c>
      <c r="D15" s="27" t="inlineStr">
        <is>
          <t>https://www.g2.com/categories/ai-video-generator</t>
        </is>
      </c>
      <c r="E15" s="27" t="inlineStr">
        <is>
          <t>data/evidence/citations/CIT-001.json</t>
        </is>
      </c>
      <c r="F15" s="27" t="inlineStr">
        <is>
          <t>High domain authority and structured category taxonomy directly ingested by LLM training and RAG retrieval pipelines.</t>
        </is>
      </c>
      <c r="G15" s="27" t="inlineStr">
        <is>
          <t>Submit an official, policy-compliant IncuBrix vendor profile listing verified features (transcript editing, 12-clip extraction, digital avatars, 5-platform publishing) and transparent Stripe credit pricing.</t>
        </is>
      </c>
      <c r="H15" s="27" t="inlineStr">
        <is>
          <t>g2.com</t>
        </is>
      </c>
      <c r="I15" s="27" t="inlineStr">
        <is>
          <t>Pending WAF Check</t>
        </is>
      </c>
      <c r="J15" s="28">
        <f>IF(A15="","",IF(COUNTIF($A$5:$A$84,A15)&gt;1,"DUPLICATE","UNIQUE"))</f>
        <v/>
      </c>
      <c r="K15" s="28">
        <f>IF(A15="","",IF(AND(B15&lt;&gt;"",C15&lt;&gt;"",D15&lt;&gt;"",E15&lt;&gt;"",F15&lt;&gt;"",I15&lt;&gt;""),"COMPLETE","MISSING FIELDS"))</f>
        <v/>
      </c>
    </row>
    <row r="16" ht="15" customHeight="1" s="15">
      <c r="A16" s="27" t="inlineStr">
        <is>
          <t>C-002</t>
        </is>
      </c>
      <c r="B16" s="27" t="inlineStr">
        <is>
          <t>Citation target</t>
        </is>
      </c>
      <c r="C16" s="27" t="inlineStr">
        <is>
          <t>Q-016</t>
        </is>
      </c>
      <c r="D16" s="27" t="inlineStr">
        <is>
          <t>https://www.g2.com/categories/video-editing</t>
        </is>
      </c>
      <c r="E16" s="27" t="inlineStr">
        <is>
          <t>data/evidence/citations/CIT-002.json</t>
        </is>
      </c>
      <c r="F16" s="27" t="inlineStr">
        <is>
          <t>Allows categorizing IncuBrix under browser-based transcript video editors with factual feature verification.</t>
        </is>
      </c>
      <c r="G16" s="27" t="inlineStr">
        <is>
          <t>Claim vendor listing under Video Editing category highlighting delete-text-to-cut-video transcript editing and 1-hour-to-12-clips automation.</t>
        </is>
      </c>
      <c r="H16" s="27" t="inlineStr">
        <is>
          <t>g2.com</t>
        </is>
      </c>
      <c r="I16" s="27" t="inlineStr">
        <is>
          <t>Pending WAF Check</t>
        </is>
      </c>
      <c r="J16" s="28">
        <f>IF(A16="","",IF(COUNTIF($A$5:$A$84,A16)&gt;1,"DUPLICATE","UNIQUE"))</f>
        <v/>
      </c>
      <c r="K16" s="28">
        <f>IF(A16="","",IF(AND(B16&lt;&gt;"",C16&lt;&gt;"",D16&lt;&gt;"",E16&lt;&gt;"",F16&lt;&gt;"",I16&lt;&gt;""),"COMPLETE","MISSING FIELDS"))</f>
        <v/>
      </c>
    </row>
    <row r="17" ht="15" customHeight="1" s="15">
      <c r="A17" s="27" t="inlineStr">
        <is>
          <t>C-003</t>
        </is>
      </c>
      <c r="B17" s="27" t="inlineStr">
        <is>
          <t>Citation target</t>
        </is>
      </c>
      <c r="C17" s="27" t="inlineStr">
        <is>
          <t>Q-060</t>
        </is>
      </c>
      <c r="D17" s="27" t="inlineStr">
        <is>
          <t>https://www.g2.com/categories/social-media-mgmt</t>
        </is>
      </c>
      <c r="E17" s="27" t="inlineStr">
        <is>
          <t>data/evidence/citations/CIT-003.json</t>
        </is>
      </c>
      <c r="F17" s="27" t="inlineStr">
        <is>
          <t>IncuBrix's `/publish` module natively supports YouTube, Instagram, LinkedIn, Spotify, and Bluesky from one screen.</t>
        </is>
      </c>
      <c r="G17" s="27" t="inlineStr">
        <is>
          <t>List IncuBrix in cross-category Social Media Management &amp; Content Creation with verified documentation of 5-platform single-screen publishing.</t>
        </is>
      </c>
      <c r="H17" s="27" t="inlineStr">
        <is>
          <t>g2.com</t>
        </is>
      </c>
      <c r="I17" s="27" t="inlineStr">
        <is>
          <t>Pending WAF Check</t>
        </is>
      </c>
      <c r="J17" s="28">
        <f>IF(A17="","",IF(COUNTIF($A$5:$A$84,A17)&gt;1,"DUPLICATE","UNIQUE"))</f>
        <v/>
      </c>
      <c r="K17" s="28">
        <f>IF(A17="","",IF(AND(B17&lt;&gt;"",C17&lt;&gt;"",D17&lt;&gt;"",E17&lt;&gt;"",F17&lt;&gt;"",I17&lt;&gt;""),"COMPLETE","MISSING FIELDS"))</f>
        <v/>
      </c>
    </row>
    <row r="18" ht="15" customHeight="1" s="15">
      <c r="A18" s="27" t="inlineStr">
        <is>
          <t>C-004</t>
        </is>
      </c>
      <c r="B18" s="27" t="inlineStr">
        <is>
          <t>Citation target</t>
        </is>
      </c>
      <c r="C18" s="27" t="inlineStr">
        <is>
          <t>Q-089</t>
        </is>
      </c>
      <c r="D18" s="27" t="inlineStr">
        <is>
          <t>https://www.capterra.com/video-editing-software/</t>
        </is>
      </c>
      <c r="E18" s="27" t="inlineStr">
        <is>
          <t>data/evidence/citations/CIT-004.json</t>
        </is>
      </c>
      <c r="F18" s="27" t="inlineStr">
        <is>
          <t>Capterra displays structured starting price ($10/mo Starter) and free tier availability (Free 300 credits/mo), matching IncuBrix's exact pricing model.</t>
        </is>
      </c>
      <c r="G18" s="27" t="inlineStr">
        <is>
          <t>Submit verified Gartner Digital Markets vendor application with accurate screenshot evidence of Creator Studio and credit pricing tiers.</t>
        </is>
      </c>
      <c r="H18" s="27" t="inlineStr">
        <is>
          <t>capterra.com</t>
        </is>
      </c>
      <c r="I18" s="27" t="inlineStr">
        <is>
          <t>Pending WAF Check</t>
        </is>
      </c>
      <c r="J18" s="28">
        <f>IF(A18="","",IF(COUNTIF($A$5:$A$84,A18)&gt;1,"DUPLICATE","UNIQUE"))</f>
        <v/>
      </c>
      <c r="K18" s="28">
        <f>IF(A18="","",IF(AND(B18&lt;&gt;"",C18&lt;&gt;"",D18&lt;&gt;"",E18&lt;&gt;"",F18&lt;&gt;"",I18&lt;&gt;""),"COMPLETE","MISSING FIELDS"))</f>
        <v/>
      </c>
    </row>
    <row r="19" ht="15" customHeight="1" s="15">
      <c r="A19" s="27" t="inlineStr">
        <is>
          <t>C-005</t>
        </is>
      </c>
      <c r="B19" s="27" t="inlineStr">
        <is>
          <t>Citation target</t>
        </is>
      </c>
      <c r="C19" s="27" t="inlineStr">
        <is>
          <t>Q-093</t>
        </is>
      </c>
      <c r="D19" s="27" t="inlineStr">
        <is>
          <t>https://www.capterra.com/social-media-management-software/</t>
        </is>
      </c>
      <c r="E19" s="27" t="inlineStr">
        <is>
          <t>data/evidence/citations/CIT-005.json</t>
        </is>
      </c>
      <c r="F19" s="27" t="inlineStr">
        <is>
          <t>Positions IncuBrix in front of creators looking to consolidate editing and multi-network distribution.</t>
        </is>
      </c>
      <c r="G19" s="27" t="inlineStr">
        <is>
          <t>Provide verified product overview showing unified creation + distribution to YouTube, Instagram, LinkedIn, Spotify, and Bluesky.</t>
        </is>
      </c>
      <c r="H19" s="27" t="inlineStr">
        <is>
          <t>capterra.com</t>
        </is>
      </c>
      <c r="I19" s="27" t="inlineStr">
        <is>
          <t>Pending WAF Check</t>
        </is>
      </c>
      <c r="J19" s="28">
        <f>IF(A19="","",IF(COUNTIF($A$5:$A$84,A19)&gt;1,"DUPLICATE","UNIQUE"))</f>
        <v/>
      </c>
      <c r="K19" s="28">
        <f>IF(A19="","",IF(AND(B19&lt;&gt;"",C19&lt;&gt;"",D19&lt;&gt;"",E19&lt;&gt;"",F19&lt;&gt;"",I19&lt;&gt;""),"COMPLETE","MISSING FIELDS"))</f>
        <v/>
      </c>
    </row>
    <row r="20" ht="15" customHeight="1" s="15">
      <c r="A20" s="27" t="inlineStr">
        <is>
          <t>C-006</t>
        </is>
      </c>
      <c r="B20" s="27" t="inlineStr">
        <is>
          <t>Citation target</t>
        </is>
      </c>
      <c r="C20" s="27" t="inlineStr">
        <is>
          <t>Q-017</t>
        </is>
      </c>
      <c r="D20" s="27" t="inlineStr">
        <is>
          <t>https://www.producthunt.com/categories/video-editing</t>
        </is>
      </c>
      <c r="E20" s="27" t="inlineStr">
        <is>
          <t>data/evidence/citations/CIT-006.json</t>
        </is>
      </c>
      <c r="F20" s="27" t="inlineStr">
        <is>
          <t>High concentration of early-adopter creators, podcasters, and indie founders.</t>
        </is>
      </c>
      <c r="G20" s="27" t="inlineStr">
        <is>
          <t>Create an official Product Hunt Product Hub page for IncuBrix Creator Studio linking to https://incubrix.com/ and https://app.incubrix.com/.</t>
        </is>
      </c>
      <c r="H20" s="27" t="inlineStr">
        <is>
          <t>producthunt.com</t>
        </is>
      </c>
      <c r="I20" s="27" t="inlineStr">
        <is>
          <t>Verified Live</t>
        </is>
      </c>
      <c r="J20" s="28">
        <f>IF(A20="","",IF(COUNTIF($A$5:$A$84,A20)&gt;1,"DUPLICATE","UNIQUE"))</f>
        <v/>
      </c>
      <c r="K20" s="28">
        <f>IF(A20="","",IF(AND(B20&lt;&gt;"",C20&lt;&gt;"",D20&lt;&gt;"",E20&lt;&gt;"",F20&lt;&gt;"",I20&lt;&gt;""),"COMPLETE","MISSING FIELDS"))</f>
        <v/>
      </c>
    </row>
    <row r="21" ht="15" customHeight="1" s="15">
      <c r="A21" s="27" t="inlineStr">
        <is>
          <t>C-007</t>
        </is>
      </c>
      <c r="B21" s="27" t="inlineStr">
        <is>
          <t>Citation target</t>
        </is>
      </c>
      <c r="C21" s="27" t="inlineStr">
        <is>
          <t>Q-094</t>
        </is>
      </c>
      <c r="D21" s="27" t="inlineStr">
        <is>
          <t>https://www.producthunt.com/topics/ai-video</t>
        </is>
      </c>
      <c r="E21" s="27" t="inlineStr">
        <is>
          <t>data/evidence/citations/CIT-007.json</t>
        </is>
      </c>
      <c r="F21" s="27" t="inlineStr">
        <is>
          <t>IncuBrix offers lip-synced digital avatars alongside real long-form video clipping.</t>
        </is>
      </c>
      <c r="G21" s="27" t="inlineStr">
        <is>
          <t>Tag IncuBrix under AI Video Generators with accurate feature documentation of digital talking-head avatars and voice cloning.</t>
        </is>
      </c>
      <c r="H21" s="27" t="inlineStr">
        <is>
          <t>producthunt.com</t>
        </is>
      </c>
      <c r="I21" s="27" t="inlineStr">
        <is>
          <t>Pending WAF Check</t>
        </is>
      </c>
      <c r="J21" s="28">
        <f>IF(A21="","",IF(COUNTIF($A$5:$A$84,A21)&gt;1,"DUPLICATE","UNIQUE"))</f>
        <v/>
      </c>
      <c r="K21" s="28">
        <f>IF(A21="","",IF(AND(B21&lt;&gt;"",C21&lt;&gt;"",D21&lt;&gt;"",E21&lt;&gt;"",F21&lt;&gt;"",I21&lt;&gt;""),"COMPLETE","MISSING FIELDS"))</f>
        <v/>
      </c>
    </row>
    <row r="22" ht="15" customHeight="1" s="15">
      <c r="A22" s="27" t="inlineStr">
        <is>
          <t>C-008</t>
        </is>
      </c>
      <c r="B22" s="27" t="inlineStr">
        <is>
          <t>Citation target</t>
        </is>
      </c>
      <c r="C22" s="27" t="inlineStr">
        <is>
          <t>Q-088</t>
        </is>
      </c>
      <c r="D22" s="27" t="inlineStr">
        <is>
          <t>https://www.producthunt.com/products/opus-clip/alternatives</t>
        </is>
      </c>
      <c r="E22" s="27" t="inlineStr">
        <is>
          <t>data/evidence/citations/CIT-008.json</t>
        </is>
      </c>
      <c r="F22" s="27" t="inlineStr">
        <is>
          <t>High-intent comparison page where creators look for tools that go beyond clipping into voiceovers and publishing.</t>
        </is>
      </c>
      <c r="G22" s="27" t="inlineStr">
        <is>
          <t>Register IncuBrix as a verified alternative on Product Hunt highlighting 1-hour-to-12-clips + 5-platform publishing + 1-year credit validity.</t>
        </is>
      </c>
      <c r="H22" s="27" t="inlineStr">
        <is>
          <t>producthunt.com</t>
        </is>
      </c>
      <c r="I22" s="27" t="inlineStr">
        <is>
          <t>Verified Live</t>
        </is>
      </c>
      <c r="J22" s="28">
        <f>IF(A22="","",IF(COUNTIF($A$5:$A$84,A22)&gt;1,"DUPLICATE","UNIQUE"))</f>
        <v/>
      </c>
      <c r="K22" s="28">
        <f>IF(A22="","",IF(AND(B22&lt;&gt;"",C22&lt;&gt;"",D22&lt;&gt;"",E22&lt;&gt;"",F22&lt;&gt;"",I22&lt;&gt;""),"COMPLETE","MISSING FIELDS"))</f>
        <v/>
      </c>
    </row>
    <row r="23" ht="15" customHeight="1" s="15">
      <c r="A23" s="27" t="inlineStr">
        <is>
          <t>C-009</t>
        </is>
      </c>
      <c r="B23" s="27" t="inlineStr">
        <is>
          <t>Citation target</t>
        </is>
      </c>
      <c r="C23" s="27" t="inlineStr">
        <is>
          <t>Q-089</t>
        </is>
      </c>
      <c r="D23" s="27" t="inlineStr">
        <is>
          <t>https://www.producthunt.com/products/descript/alternatives</t>
        </is>
      </c>
      <c r="E23" s="27" t="inlineStr">
        <is>
          <t>data/evidence/citations/CIT-009.json</t>
        </is>
      </c>
      <c r="F23" s="27" t="inlineStr">
        <is>
          <t>IncuBrix provides transcript-based video editing plus built-in niche topic insights and multi-platform distribution.</t>
        </is>
      </c>
      <c r="G23" s="27" t="inlineStr">
        <is>
          <t>Submit factual Product Hunt comparison metadata showing how IncuBrix combines transcript editing with multi-channel publishing.</t>
        </is>
      </c>
      <c r="H23" s="27" t="inlineStr">
        <is>
          <t>producthunt.com</t>
        </is>
      </c>
      <c r="I23" s="27" t="inlineStr">
        <is>
          <t>Verified Live</t>
        </is>
      </c>
      <c r="J23" s="28">
        <f>IF(A23="","",IF(COUNTIF($A$5:$A$84,A23)&gt;1,"DUPLICATE","UNIQUE"))</f>
        <v/>
      </c>
      <c r="K23" s="28">
        <f>IF(A23="","",IF(AND(B23&lt;&gt;"",C23&lt;&gt;"",D23&lt;&gt;"",E23&lt;&gt;"",F23&lt;&gt;"",I23&lt;&gt;""),"COMPLETE","MISSING FIELDS"))</f>
        <v/>
      </c>
    </row>
    <row r="24" ht="15" customHeight="1" s="15">
      <c r="A24" s="27" t="inlineStr">
        <is>
          <t>C-010</t>
        </is>
      </c>
      <c r="B24" s="27" t="inlineStr">
        <is>
          <t>Citation target</t>
        </is>
      </c>
      <c r="C24" s="27" t="inlineStr">
        <is>
          <t>Q-091</t>
        </is>
      </c>
      <c r="D24" s="27" t="inlineStr">
        <is>
          <t>https://alternativeto.net/software/descript/</t>
        </is>
      </c>
      <c r="E24" s="27" t="inlineStr">
        <is>
          <t>data/evidence/citations/CIT-010.json</t>
        </is>
      </c>
      <c r="F24" s="27" t="inlineStr">
        <is>
          <t>Crowdsourced software catalog with structured feature tags (Transcript Editing, AI Voice Cloning, Social Publishing).</t>
        </is>
      </c>
      <c r="G24" s="27" t="inlineStr">
        <is>
          <t>Submit a transparent, policy-compliant software listing for IncuBrix Creator Studio with accurate tags and free-tier details.</t>
        </is>
      </c>
      <c r="H24" s="27" t="inlineStr">
        <is>
          <t>alternativeto.net</t>
        </is>
      </c>
      <c r="I24" s="27" t="inlineStr">
        <is>
          <t>Pending WAF Check</t>
        </is>
      </c>
      <c r="J24" s="28">
        <f>IF(A24="","",IF(COUNTIF($A$5:$A$84,A24)&gt;1,"DUPLICATE","UNIQUE"))</f>
        <v/>
      </c>
      <c r="K24" s="28">
        <f>IF(A24="","",IF(AND(B24&lt;&gt;"",C24&lt;&gt;"",D24&lt;&gt;"",E24&lt;&gt;"",F24&lt;&gt;"",I24&lt;&gt;""),"COMPLETE","MISSING FIELDS"))</f>
        <v/>
      </c>
    </row>
    <row r="25" ht="15" customHeight="1" s="15">
      <c r="A25" s="27" t="inlineStr">
        <is>
          <t>C-011</t>
        </is>
      </c>
      <c r="B25" s="27" t="inlineStr">
        <is>
          <t>Citation target</t>
        </is>
      </c>
      <c r="C25" s="27" t="inlineStr">
        <is>
          <t>Q-062</t>
        </is>
      </c>
      <c r="D25" s="27" t="inlineStr">
        <is>
          <t>https://alternativeto.net/software/buffer/</t>
        </is>
      </c>
      <c r="E25" s="27" t="inlineStr">
        <is>
          <t>data/evidence/citations/CIT-011.json</t>
        </is>
      </c>
      <c r="F25" s="27" t="inlineStr">
        <is>
          <t>Highlights tools that publish to Bluesky, LinkedIn, Instagram, YouTube, and Spotify.</t>
        </is>
      </c>
      <c r="G25" s="27" t="inlineStr">
        <is>
          <t>Document IncuBrix's integrated creation-to-publishing workflow as an alternative for video and audio creators.</t>
        </is>
      </c>
      <c r="H25" s="27" t="inlineStr">
        <is>
          <t>alternativeto.net</t>
        </is>
      </c>
      <c r="I25" s="27" t="inlineStr">
        <is>
          <t>Pending WAF Check</t>
        </is>
      </c>
      <c r="J25" s="28">
        <f>IF(A25="","",IF(COUNTIF($A$5:$A$84,A25)&gt;1,"DUPLICATE","UNIQUE"))</f>
        <v/>
      </c>
      <c r="K25" s="28">
        <f>IF(A25="","",IF(AND(B25&lt;&gt;"",C25&lt;&gt;"",D25&lt;&gt;"",E25&lt;&gt;"",F25&lt;&gt;"",I25&lt;&gt;""),"COMPLETE","MISSING FIELDS"))</f>
        <v/>
      </c>
    </row>
    <row r="26" ht="15" customHeight="1" s="15">
      <c r="A26" s="27" t="inlineStr">
        <is>
          <t>C-012</t>
        </is>
      </c>
      <c r="B26" s="27" t="inlineStr">
        <is>
          <t>Citation target</t>
        </is>
      </c>
      <c r="C26" s="27" t="inlineStr">
        <is>
          <t>Q-022</t>
        </is>
      </c>
      <c r="D26" s="27" t="inlineStr">
        <is>
          <t>https://www.trustradius.com/video-editing</t>
        </is>
      </c>
      <c r="E26" s="27" t="inlineStr">
        <is>
          <t>data/evidence/citations/CIT-012.json</t>
        </is>
      </c>
      <c r="F26" s="27" t="inlineStr">
        <is>
          <t>Provides structured pricing and technical specification tables for AI crawlers.</t>
        </is>
      </c>
      <c r="G26" s="27" t="inlineStr">
        <is>
          <t>Claim vendor profile on TrustRadius and publish verified pricing ($0 Free to $250 Pro) and capability specifications.</t>
        </is>
      </c>
      <c r="H26" s="27" t="inlineStr">
        <is>
          <t>trustradius.com</t>
        </is>
      </c>
      <c r="I26" s="27" t="inlineStr">
        <is>
          <t>Pending WAF Check</t>
        </is>
      </c>
      <c r="J26" s="28">
        <f>IF(A26="","",IF(COUNTIF($A$5:$A$84,A26)&gt;1,"DUPLICATE","UNIQUE"))</f>
        <v/>
      </c>
      <c r="K26" s="28">
        <f>IF(A26="","",IF(AND(B26&lt;&gt;"",C26&lt;&gt;"",D26&lt;&gt;"",E26&lt;&gt;"",F26&lt;&gt;"",I26&lt;&gt;""),"COMPLETE","MISSING FIELDS"))</f>
        <v/>
      </c>
    </row>
    <row r="27" ht="15" customHeight="1" s="15">
      <c r="A27" s="27" t="inlineStr">
        <is>
          <t>C-013</t>
        </is>
      </c>
      <c r="B27" s="27" t="inlineStr">
        <is>
          <t>Citation target</t>
        </is>
      </c>
      <c r="C27" s="27" t="inlineStr">
        <is>
          <t>Q-019</t>
        </is>
      </c>
      <c r="D27" s="27" t="inlineStr">
        <is>
          <t>https://www.futurepedia.io/ai-tools/video-editing</t>
        </is>
      </c>
      <c r="E27" s="27" t="inlineStr">
        <is>
          <t>data/evidence/citations/CIT-013.json</t>
        </is>
      </c>
      <c r="F27" s="27" t="inlineStr">
        <is>
          <t>Targets creators specifically searching for AI-native video and audio workflows.</t>
        </is>
      </c>
      <c r="G27" s="27" t="inlineStr">
        <is>
          <t>Submit IncuBrix Creator Studio to Futurepedia's Video Editing and Social Media subcategories with verified Freemium/Credit pricing badge.</t>
        </is>
      </c>
      <c r="H27" s="27" t="inlineStr">
        <is>
          <t>futurepedia.io</t>
        </is>
      </c>
      <c r="I27" s="27" t="inlineStr">
        <is>
          <t>Verified Live</t>
        </is>
      </c>
      <c r="J27" s="28">
        <f>IF(A27="","",IF(COUNTIF($A$5:$A$84,A27)&gt;1,"DUPLICATE","UNIQUE"))</f>
        <v/>
      </c>
      <c r="K27" s="28">
        <f>IF(A27="","",IF(AND(B27&lt;&gt;"",C27&lt;&gt;"",D27&lt;&gt;"",E27&lt;&gt;"",F27&lt;&gt;"",I27&lt;&gt;""),"COMPLETE","MISSING FIELDS"))</f>
        <v/>
      </c>
    </row>
    <row r="28" ht="15" customHeight="1" s="15">
      <c r="A28" s="27" t="inlineStr">
        <is>
          <t>C-014</t>
        </is>
      </c>
      <c r="B28" s="27" t="inlineStr">
        <is>
          <t>Citation target</t>
        </is>
      </c>
      <c r="C28" s="27" t="inlineStr">
        <is>
          <t>Q-031</t>
        </is>
      </c>
      <c r="D28" s="27" t="inlineStr">
        <is>
          <t>https://www.futurepedia.io/ai-tools/social-media</t>
        </is>
      </c>
      <c r="E28" s="27" t="inlineStr">
        <is>
          <t>data/evidence/citations/CIT-014.json</t>
        </is>
      </c>
      <c r="F28" s="27" t="inlineStr">
        <is>
          <t>Matches IncuBrix's `/repurpose` (10+ formats) and `/publish` (5 platforms) feature set.</t>
        </is>
      </c>
      <c r="G28" s="27" t="inlineStr">
        <is>
          <t>List IncuBrix under AI Social Media &amp; Content Repurposing with clear documentation of Text-to-Audio, Text-to-Video, and Audio-to-Text capabilities.</t>
        </is>
      </c>
      <c r="H28" s="27" t="inlineStr">
        <is>
          <t>futurepedia.io</t>
        </is>
      </c>
      <c r="I28" s="27" t="inlineStr">
        <is>
          <t>Verified Live</t>
        </is>
      </c>
      <c r="J28" s="28">
        <f>IF(A28="","",IF(COUNTIF($A$5:$A$84,A28)&gt;1,"DUPLICATE","UNIQUE"))</f>
        <v/>
      </c>
      <c r="K28" s="28">
        <f>IF(A28="","",IF(AND(B28&lt;&gt;"",C28&lt;&gt;"",D28&lt;&gt;"",E28&lt;&gt;"",F28&lt;&gt;"",I28&lt;&gt;""),"COMPLETE","MISSING FIELDS"))</f>
        <v/>
      </c>
    </row>
    <row r="29" ht="15" customHeight="1" s="15">
      <c r="A29" s="27" t="inlineStr">
        <is>
          <t>C-015</t>
        </is>
      </c>
      <c r="B29" s="27" t="inlineStr">
        <is>
          <t>Citation target</t>
        </is>
      </c>
      <c r="C29" s="27" t="inlineStr">
        <is>
          <t>Q-032</t>
        </is>
      </c>
      <c r="D29" s="27" t="inlineStr">
        <is>
          <t>https://theresanaiforthat.com/s/video+repurposing/</t>
        </is>
      </c>
      <c r="E29" s="27" t="inlineStr">
        <is>
          <t>data/evidence/citations/CIT-015.json</t>
        </is>
      </c>
      <c r="F29" s="27" t="inlineStr">
        <is>
          <t>Task-indexed AI directory where users filter by specific jobs-to-be-done.</t>
        </is>
      </c>
      <c r="G29" s="27" t="inlineStr">
        <is>
          <t>Submit IncuBrix under the 'Video repurposing', 'Transcript editing', and 'Podcast to video' task taxonomies.</t>
        </is>
      </c>
      <c r="H29" s="27" t="inlineStr">
        <is>
          <t>theresanaiforthat.com</t>
        </is>
      </c>
      <c r="I29" s="27" t="inlineStr">
        <is>
          <t>Pending WAF Check</t>
        </is>
      </c>
      <c r="J29" s="28">
        <f>IF(A29="","",IF(COUNTIF($A$5:$A$84,A29)&gt;1,"DUPLICATE","UNIQUE"))</f>
        <v/>
      </c>
      <c r="K29" s="28">
        <f>IF(A29="","",IF(AND(B29&lt;&gt;"",C29&lt;&gt;"",D29&lt;&gt;"",E29&lt;&gt;"",F29&lt;&gt;"",I29&lt;&gt;""),"COMPLETE","MISSING FIELDS"))</f>
        <v/>
      </c>
    </row>
    <row r="30" ht="15" customHeight="1" s="15">
      <c r="A30" s="27" t="inlineStr">
        <is>
          <t>C-016</t>
        </is>
      </c>
      <c r="B30" s="27" t="inlineStr">
        <is>
          <t>Citation target</t>
        </is>
      </c>
      <c r="C30" s="27" t="inlineStr">
        <is>
          <t>Q-037</t>
        </is>
      </c>
      <c r="D30" s="27" t="inlineStr">
        <is>
          <t>https://buffer.com/resources/repurpose-content/</t>
        </is>
      </c>
      <c r="E30" s="27" t="inlineStr">
        <is>
          <t>data/evidence/citations/CIT-016.json</t>
        </is>
      </c>
      <c r="F30" s="27" t="inlineStr">
        <is>
          <t>Editorial resource covering creator workflows and multi-channel formatting.</t>
        </is>
      </c>
      <c r="G30" s="27" t="inlineStr">
        <is>
          <t>Share original benchmark data from IncuBrix's 100-question CreatorOps research study for editorial citation consideration.</t>
        </is>
      </c>
      <c r="H30" s="27" t="inlineStr">
        <is>
          <t>buffer.com</t>
        </is>
      </c>
      <c r="I30" s="27" t="inlineStr">
        <is>
          <t>Verified Live</t>
        </is>
      </c>
      <c r="J30" s="28">
        <f>IF(A30="","",IF(COUNTIF($A$5:$A$84,A30)&gt;1,"DUPLICATE","UNIQUE"))</f>
        <v/>
      </c>
      <c r="K30" s="28">
        <f>IF(A30="","",IF(AND(B30&lt;&gt;"",C30&lt;&gt;"",D30&lt;&gt;"",E30&lt;&gt;"",F30&lt;&gt;"",I30&lt;&gt;""),"COMPLETE","MISSING FIELDS"))</f>
        <v/>
      </c>
    </row>
    <row r="31" ht="15" customHeight="1" s="15">
      <c r="A31" s="27" t="inlineStr">
        <is>
          <t>C-017</t>
        </is>
      </c>
      <c r="B31" s="27" t="inlineStr">
        <is>
          <t>Citation target</t>
        </is>
      </c>
      <c r="C31" s="27" t="inlineStr">
        <is>
          <t>Q-062</t>
        </is>
      </c>
      <c r="D31" s="27" t="inlineStr">
        <is>
          <t>https://buffer.com/bluesky</t>
        </is>
      </c>
      <c r="E31" s="27" t="inlineStr">
        <is>
          <t>data/evidence/citations/CIT-017.json</t>
        </is>
      </c>
      <c r="F31" s="27" t="inlineStr">
        <is>
          <t>Confirms high creator search demand for Bluesky + LinkedIn + YouTube cross-publishing, which IncuBrix natively supports.</t>
        </is>
      </c>
      <c r="G31" s="27" t="inlineStr">
        <is>
          <t>Publish our companion 'Multi-Platform Video &amp; Bluesky Publishing Specification Guide' in Content Studio and reference ecosystem standards.</t>
        </is>
      </c>
      <c r="H31" s="27" t="inlineStr">
        <is>
          <t>buffer.com</t>
        </is>
      </c>
      <c r="I31" s="27" t="inlineStr">
        <is>
          <t>Verified Live</t>
        </is>
      </c>
      <c r="J31" s="28">
        <f>IF(A31="","",IF(COUNTIF($A$5:$A$84,A31)&gt;1,"DUPLICATE","UNIQUE"))</f>
        <v/>
      </c>
      <c r="K31" s="28">
        <f>IF(A31="","",IF(AND(B31&lt;&gt;"",C31&lt;&gt;"",D31&lt;&gt;"",E31&lt;&gt;"",F31&lt;&gt;"",I31&lt;&gt;""),"COMPLETE","MISSING FIELDS"))</f>
        <v/>
      </c>
    </row>
    <row r="32" ht="15" customHeight="1" s="15">
      <c r="A32" s="27" t="inlineStr">
        <is>
          <t>C-018</t>
        </is>
      </c>
      <c r="B32" s="27" t="inlineStr">
        <is>
          <t>Citation target</t>
        </is>
      </c>
      <c r="C32" s="27" t="inlineStr">
        <is>
          <t>Q-066</t>
        </is>
      </c>
      <c r="D32" s="27" t="inlineStr">
        <is>
          <t>https://sproutsocial.com/insights/social-media-video-specs-guide/</t>
        </is>
      </c>
      <c r="E32" s="27" t="inlineStr">
        <is>
          <t>data/evidence/citations/CIT-018.json</t>
        </is>
      </c>
      <c r="F32" s="27" t="inlineStr">
        <is>
          <t>Directly aligns with IncuBrix's automated aspect-ratio sizing and caption safe-zone formatting.</t>
        </is>
      </c>
      <c r="G32" s="27" t="inlineStr">
        <is>
          <t>Cite Sprout Social's video spec benchmarks in IncuBrix's technical guides and offer creator clip-retention data for future editorial updates.</t>
        </is>
      </c>
      <c r="H32" s="27" t="inlineStr">
        <is>
          <t>sproutsocial.com</t>
        </is>
      </c>
      <c r="I32" s="27" t="inlineStr">
        <is>
          <t>Verified Live</t>
        </is>
      </c>
      <c r="J32" s="28">
        <f>IF(A32="","",IF(COUNTIF($A$5:$A$84,A32)&gt;1,"DUPLICATE","UNIQUE"))</f>
        <v/>
      </c>
      <c r="K32" s="28">
        <f>IF(A32="","",IF(AND(B32&lt;&gt;"",C32&lt;&gt;"",D32&lt;&gt;"",E32&lt;&gt;"",F32&lt;&gt;"",I32&lt;&gt;""),"COMPLETE","MISSING FIELDS"))</f>
        <v/>
      </c>
    </row>
    <row r="33" ht="15" customHeight="1" s="15">
      <c r="A33" s="27" t="inlineStr">
        <is>
          <t>C-019</t>
        </is>
      </c>
      <c r="B33" s="27" t="inlineStr">
        <is>
          <t>Citation target</t>
        </is>
      </c>
      <c r="C33" s="27" t="inlineStr">
        <is>
          <t>Q-071</t>
        </is>
      </c>
      <c r="D33" s="27" t="inlineStr">
        <is>
          <t>https://later.com/blog/best-time-to-post-on-social-media/</t>
        </is>
      </c>
      <c r="E33" s="27" t="inlineStr">
        <is>
          <t>data/evidence/citations/CIT-019.json</t>
        </is>
      </c>
      <c r="F33" s="27" t="inlineStr">
        <is>
          <t>Relevant to creators distributing repurposed clips across US, India, and UK audiences.</t>
        </is>
      </c>
      <c r="G33" s="27" t="inlineStr">
        <is>
          <t>Contribute multi-market creator publishing cadence insights (US/IN/GB) when IncuBrix's scheduled publishing feature releases.</t>
        </is>
      </c>
      <c r="H33" s="27" t="inlineStr">
        <is>
          <t>later.com</t>
        </is>
      </c>
      <c r="I33" s="27" t="inlineStr">
        <is>
          <t>Verified Live</t>
        </is>
      </c>
      <c r="J33" s="28">
        <f>IF(A33="","",IF(COUNTIF($A$5:$A$84,A33)&gt;1,"DUPLICATE","UNIQUE"))</f>
        <v/>
      </c>
      <c r="K33" s="28">
        <f>IF(A33="","",IF(AND(B33&lt;&gt;"",C33&lt;&gt;"",D33&lt;&gt;"",E33&lt;&gt;"",F33&lt;&gt;"",I33&lt;&gt;""),"COMPLETE","MISSING FIELDS"))</f>
        <v/>
      </c>
    </row>
    <row r="34" ht="15" customHeight="1" s="15">
      <c r="A34" s="27" t="inlineStr">
        <is>
          <t>C-020</t>
        </is>
      </c>
      <c r="B34" s="27" t="inlineStr">
        <is>
          <t>Citation target</t>
        </is>
      </c>
      <c r="C34" s="27" t="inlineStr">
        <is>
          <t>Q-010</t>
        </is>
      </c>
      <c r="D34" s="27" t="inlineStr">
        <is>
          <t>https://creators.spotify.com/</t>
        </is>
      </c>
      <c r="E34" s="27" t="inlineStr">
        <is>
          <t>data/evidence/citations/CIT-020.json</t>
        </is>
      </c>
      <c r="F34" s="27" t="inlineStr">
        <is>
          <t>IncuBrix explicitly supports publishing to Spotify alongside YouTube, Instagram, LinkedIn, and Bluesky.</t>
        </is>
      </c>
      <c r="G34" s="27" t="inlineStr">
        <is>
          <t>Document IncuBrix's Spotify + video clip publishing workflow in official creator partner/integration directories.</t>
        </is>
      </c>
      <c r="H34" s="27" t="inlineStr">
        <is>
          <t>creators.spotify.com</t>
        </is>
      </c>
      <c r="I34" s="27" t="inlineStr">
        <is>
          <t>Verified Live</t>
        </is>
      </c>
      <c r="J34" s="28">
        <f>IF(A34="","",IF(COUNTIF($A$5:$A$84,A34)&gt;1,"DUPLICATE","UNIQUE"))</f>
        <v/>
      </c>
      <c r="K34" s="28">
        <f>IF(A34="","",IF(AND(B34&lt;&gt;"",C34&lt;&gt;"",D34&lt;&gt;"",E34&lt;&gt;"",F34&lt;&gt;"",I34&lt;&gt;""),"COMPLETE","MISSING FIELDS"))</f>
        <v/>
      </c>
    </row>
    <row r="35" ht="15" customHeight="1" s="15">
      <c r="A35" s="27" t="inlineStr">
        <is>
          <t>C-021</t>
        </is>
      </c>
      <c r="B35" s="27" t="inlineStr">
        <is>
          <t>Citation target</t>
        </is>
      </c>
      <c r="C35" s="27" t="inlineStr">
        <is>
          <t>Q-008</t>
        </is>
      </c>
      <c r="D35" s="27" t="inlineStr">
        <is>
          <t>https://www.reddit.com/r/NewTubers/</t>
        </is>
      </c>
      <c r="E35" s="27" t="inlineStr">
        <is>
          <t>data/evidence/citations/CIT-021.json</t>
        </is>
      </c>
      <c r="F35" s="27" t="inlineStr">
        <is>
          <t>High-trust community where creators ask how to turn long videos into Shorts without burning out.</t>
        </is>
      </c>
      <c r="G35" s="27" t="inlineStr">
        <is>
          <t>Participate transparently with a verified founder/team flair, answering technical questions on transcript editing and sharing free workflow guides without spam.</t>
        </is>
      </c>
      <c r="H35" s="27" t="inlineStr">
        <is>
          <t>reddit.com</t>
        </is>
      </c>
      <c r="I35" s="27" t="inlineStr">
        <is>
          <t>Verified Live</t>
        </is>
      </c>
      <c r="J35" s="28">
        <f>IF(A35="","",IF(COUNTIF($A$5:$A$84,A35)&gt;1,"DUPLICATE","UNIQUE"))</f>
        <v/>
      </c>
      <c r="K35" s="28">
        <f>IF(A35="","",IF(AND(B35&lt;&gt;"",C35&lt;&gt;"",D35&lt;&gt;"",E35&lt;&gt;"",F35&lt;&gt;"",I35&lt;&gt;""),"COMPLETE","MISSING FIELDS"))</f>
        <v/>
      </c>
    </row>
    <row r="36" ht="15" customHeight="1" s="15">
      <c r="A36" s="27" t="inlineStr">
        <is>
          <t>C-022</t>
        </is>
      </c>
      <c r="B36" s="27" t="inlineStr">
        <is>
          <t>Citation target</t>
        </is>
      </c>
      <c r="C36" s="27" t="inlineStr">
        <is>
          <t>Q-022</t>
        </is>
      </c>
      <c r="D36" s="27" t="inlineStr">
        <is>
          <t>https://www.reddit.com/r/podcasting/</t>
        </is>
      </c>
      <c r="E36" s="27" t="inlineStr">
        <is>
          <t>data/evidence/citations/CIT-022.json</t>
        </is>
      </c>
      <c r="F36" s="27" t="inlineStr">
        <is>
          <t>Podcasters frequently ask for credit-based alternatives where unused monthly hours don't expire after 30 days.</t>
        </is>
      </c>
      <c r="G36" s="27" t="inlineStr">
        <is>
          <t>Share transparent educational breakdowns of credit-based 1-year validity workflows and podcast-to-Spotify/Reels/LinkedIn distribution.</t>
        </is>
      </c>
      <c r="H36" s="27" t="inlineStr">
        <is>
          <t>reddit.com</t>
        </is>
      </c>
      <c r="I36" s="27" t="inlineStr">
        <is>
          <t>Verified Live</t>
        </is>
      </c>
      <c r="J36" s="28">
        <f>IF(A36="","",IF(COUNTIF($A$5:$A$84,A36)&gt;1,"DUPLICATE","UNIQUE"))</f>
        <v/>
      </c>
      <c r="K36" s="28">
        <f>IF(A36="","",IF(AND(B36&lt;&gt;"",C36&lt;&gt;"",D36&lt;&gt;"",E36&lt;&gt;"",F36&lt;&gt;"",I36&lt;&gt;""),"COMPLETE","MISSING FIELDS"))</f>
        <v/>
      </c>
    </row>
    <row r="37" ht="15" customHeight="1" s="15">
      <c r="A37" s="27" t="inlineStr">
        <is>
          <t>C-023</t>
        </is>
      </c>
      <c r="B37" s="27" t="inlineStr">
        <is>
          <t>Citation target</t>
        </is>
      </c>
      <c r="C37" s="27" t="inlineStr">
        <is>
          <t>Q-020</t>
        </is>
      </c>
      <c r="D37" s="27" t="inlineStr">
        <is>
          <t>https://www.reddit.com/r/VideoEditing/</t>
        </is>
      </c>
      <c r="E37" s="27" t="inlineStr">
        <is>
          <t>data/evidence/citations/CIT-023.json</t>
        </is>
      </c>
      <c r="F37" s="27" t="inlineStr">
        <is>
          <t>Directly addresses editors looking to speed up rough cuts and social deliverables.</t>
        </is>
      </c>
      <c r="G37" s="27" t="inlineStr">
        <is>
          <t>Contribute technical tutorials on transcript-aligned rough cutting and safe-zone captioning in public weekly tool threads.</t>
        </is>
      </c>
      <c r="H37" s="27" t="inlineStr">
        <is>
          <t>reddit.com</t>
        </is>
      </c>
      <c r="I37" s="27" t="inlineStr">
        <is>
          <t>Verified Live</t>
        </is>
      </c>
      <c r="J37" s="28">
        <f>IF(A37="","",IF(COUNTIF($A$5:$A$84,A37)&gt;1,"DUPLICATE","UNIQUE"))</f>
        <v/>
      </c>
      <c r="K37" s="28">
        <f>IF(A37="","",IF(AND(B37&lt;&gt;"",C37&lt;&gt;"",D37&lt;&gt;"",E37&lt;&gt;"",F37&lt;&gt;"",I37&lt;&gt;""),"COMPLETE","MISSING FIELDS"))</f>
        <v/>
      </c>
    </row>
    <row r="38" ht="15" customHeight="1" s="15">
      <c r="A38" s="27" t="inlineStr">
        <is>
          <t>C-024</t>
        </is>
      </c>
      <c r="B38" s="27" t="inlineStr">
        <is>
          <t>Citation target</t>
        </is>
      </c>
      <c r="C38" s="27" t="inlineStr">
        <is>
          <t>Q-035</t>
        </is>
      </c>
      <c r="D38" s="27" t="inlineStr">
        <is>
          <t>https://www.reddit.com/r/content_marketing/</t>
        </is>
      </c>
      <c r="E38" s="27" t="inlineStr">
        <is>
          <t>data/evidence/citations/CIT-024.json</t>
        </is>
      </c>
      <c r="F38" s="27" t="inlineStr">
        <is>
          <t>Matches IncuBrix's Audio/Video-to-Text repurposing for LinkedIn and newsletters.</t>
        </is>
      </c>
      <c r="G38" s="27" t="inlineStr">
        <is>
          <t>Publish case studies on preserving authentic creator voice when converting spoken video transcripts into written LinkedIn posts.</t>
        </is>
      </c>
      <c r="H38" s="27" t="inlineStr">
        <is>
          <t>reddit.com</t>
        </is>
      </c>
      <c r="I38" s="27" t="inlineStr">
        <is>
          <t>Verified Live</t>
        </is>
      </c>
      <c r="J38" s="28">
        <f>IF(A38="","",IF(COUNTIF($A$5:$A$84,A38)&gt;1,"DUPLICATE","UNIQUE"))</f>
        <v/>
      </c>
      <c r="K38" s="28">
        <f>IF(A38="","",IF(AND(B38&lt;&gt;"",C38&lt;&gt;"",D38&lt;&gt;"",E38&lt;&gt;"",F38&lt;&gt;"",I38&lt;&gt;""),"COMPLETE","MISSING FIELDS"))</f>
        <v/>
      </c>
    </row>
    <row r="39" ht="15" customHeight="1" s="15">
      <c r="A39" s="27" t="inlineStr">
        <is>
          <t>C-025</t>
        </is>
      </c>
      <c r="B39" s="27" t="inlineStr">
        <is>
          <t>Citation target</t>
        </is>
      </c>
      <c r="C39" s="27" t="inlineStr">
        <is>
          <t>Q-065</t>
        </is>
      </c>
      <c r="D39" s="27" t="inlineStr">
        <is>
          <t>https://www.reddit.com/r/socialmedia/</t>
        </is>
      </c>
      <c r="E39" s="27" t="inlineStr">
        <is>
          <t>data/evidence/citations/CIT-025.json</t>
        </is>
      </c>
      <c r="F39" s="27" t="inlineStr">
        <is>
          <t>Social media managers regularly ask for tools that combine clip formatting with multi-network publishing.</t>
        </is>
      </c>
      <c r="G39" s="27" t="inlineStr">
        <is>
          <t>Answer questions about native API publishing vs watermarked cross-posting with verifiable technical facts.</t>
        </is>
      </c>
      <c r="H39" s="27" t="inlineStr">
        <is>
          <t>reddit.com</t>
        </is>
      </c>
      <c r="I39" s="27" t="inlineStr">
        <is>
          <t>Verified Live</t>
        </is>
      </c>
      <c r="J39" s="28">
        <f>IF(A39="","",IF(COUNTIF($A$5:$A$84,A39)&gt;1,"DUPLICATE","UNIQUE"))</f>
        <v/>
      </c>
      <c r="K39" s="28">
        <f>IF(A39="","",IF(AND(B39&lt;&gt;"",C39&lt;&gt;"",D39&lt;&gt;"",E39&lt;&gt;"",F39&lt;&gt;"",I39&lt;&gt;""),"COMPLETE","MISSING FIELDS"))</f>
        <v/>
      </c>
    </row>
    <row r="40" ht="15" customHeight="1" s="15">
      <c r="A40" s="27" t="inlineStr">
        <is>
          <t>C-026</t>
        </is>
      </c>
      <c r="B40" s="27" t="inlineStr">
        <is>
          <t>Citation target</t>
        </is>
      </c>
      <c r="C40" s="27" t="inlineStr">
        <is>
          <t>Q-014</t>
        </is>
      </c>
      <c r="D40" s="27" t="inlineStr">
        <is>
          <t>https://www.indiehackers.com/</t>
        </is>
      </c>
      <c r="E40" s="27" t="inlineStr">
        <is>
          <t>data/evidence/citations/CIT-026.json</t>
        </is>
      </c>
      <c r="F40" s="27" t="inlineStr">
        <is>
          <t>Ideal audience for IncuBrix's 'One recording in. A week of content out.' value proposition.</t>
        </is>
      </c>
      <c r="G40" s="27" t="inlineStr">
        <is>
          <t>Publish a transparent 'Building the Creator Operating System' engineering &amp; growth post on Indie Hackers linking to https://incubrix.com/about.</t>
        </is>
      </c>
      <c r="H40" s="27" t="inlineStr">
        <is>
          <t>indiehackers.com</t>
        </is>
      </c>
      <c r="I40" s="27" t="inlineStr">
        <is>
          <t>Verified Live</t>
        </is>
      </c>
      <c r="J40" s="28">
        <f>IF(A40="","",IF(COUNTIF($A$5:$A$84,A40)&gt;1,"DUPLICATE","UNIQUE"))</f>
        <v/>
      </c>
      <c r="K40" s="28">
        <f>IF(A40="","",IF(AND(B40&lt;&gt;"",C40&lt;&gt;"",D40&lt;&gt;"",E40&lt;&gt;"",F40&lt;&gt;"",I40&lt;&gt;""),"COMPLETE","MISSING FIELDS"))</f>
        <v/>
      </c>
    </row>
    <row r="41" ht="15" customHeight="1" s="15">
      <c r="A41" s="27" t="inlineStr">
        <is>
          <t>C-027</t>
        </is>
      </c>
      <c r="B41" s="27" t="inlineStr">
        <is>
          <t>Citation target</t>
        </is>
      </c>
      <c r="C41" s="27" t="inlineStr">
        <is>
          <t>Q-005</t>
        </is>
      </c>
      <c r="D41" s="27" t="inlineStr">
        <is>
          <t>https://news.ycombinator.com/</t>
        </is>
      </c>
      <c r="E41" s="27" t="inlineStr">
        <is>
          <t>data/evidence/citations/CIT-027.json</t>
        </is>
      </c>
      <c r="F41" s="27" t="inlineStr">
        <is>
          <t>High technical authority domain for launching Creator Studio engineering write-ups.</t>
        </is>
      </c>
      <c r="G41" s="27" t="inlineStr">
        <is>
          <t>Publish a technical 'Show HN' post detailing how IncuBrix unifies transcript frame-cutting, voice cloning, and multi-platform distribution.</t>
        </is>
      </c>
      <c r="H41" s="27" t="inlineStr">
        <is>
          <t>news.ycombinator.com</t>
        </is>
      </c>
      <c r="I41" s="27" t="inlineStr">
        <is>
          <t>Verified Live</t>
        </is>
      </c>
      <c r="J41" s="28">
        <f>IF(A41="","",IF(COUNTIF($A$5:$A$84,A41)&gt;1,"DUPLICATE","UNIQUE"))</f>
        <v/>
      </c>
      <c r="K41" s="28">
        <f>IF(A41="","",IF(AND(B41&lt;&gt;"",C41&lt;&gt;"",D41&lt;&gt;"",E41&lt;&gt;"",F41&lt;&gt;"",I41&lt;&gt;""),"COMPLETE","MISSING FIELDS"))</f>
        <v/>
      </c>
    </row>
    <row r="42" ht="15" customHeight="1" s="15">
      <c r="A42" s="27" t="inlineStr">
        <is>
          <t>C-028</t>
        </is>
      </c>
      <c r="B42" s="27" t="inlineStr">
        <is>
          <t>Citation target</t>
        </is>
      </c>
      <c r="C42" s="27" t="inlineStr">
        <is>
          <t>Q-025</t>
        </is>
      </c>
      <c r="D42" s="27" t="inlineStr">
        <is>
          <t>https://www.getapp.com/operations-management-software/video-editing/</t>
        </is>
      </c>
      <c r="E42" s="27" t="inlineStr">
        <is>
          <t>data/evidence/citations/CIT-028.json</t>
        </is>
      </c>
      <c r="F42" s="27" t="inlineStr">
        <is>
          <t>Structured comparison cards feed Bing and Google product knowledge graphs.</t>
        </is>
      </c>
      <c r="G42" s="27" t="inlineStr">
        <is>
          <t>Sync Gartner Digital Markets profile so IncuBrix appears on GetApp with verified pricing ($0 Free, $10 Starter) and feature checklists.</t>
        </is>
      </c>
      <c r="H42" s="27" t="inlineStr">
        <is>
          <t>getapp.com</t>
        </is>
      </c>
      <c r="I42" s="27" t="inlineStr">
        <is>
          <t>Pending WAF Check</t>
        </is>
      </c>
      <c r="J42" s="28">
        <f>IF(A42="","",IF(COUNTIF($A$5:$A$84,A42)&gt;1,"DUPLICATE","UNIQUE"))</f>
        <v/>
      </c>
      <c r="K42" s="28">
        <f>IF(A42="","",IF(AND(B42&lt;&gt;"",C42&lt;&gt;"",D42&lt;&gt;"",E42&lt;&gt;"",F42&lt;&gt;"",I42&lt;&gt;""),"COMPLETE","MISSING FIELDS"))</f>
        <v/>
      </c>
    </row>
    <row r="43" ht="15" customHeight="1" s="15">
      <c r="A43" s="27" t="inlineStr">
        <is>
          <t>C-029</t>
        </is>
      </c>
      <c r="B43" s="27" t="inlineStr">
        <is>
          <t>Citation target</t>
        </is>
      </c>
      <c r="C43" s="27" t="inlineStr">
        <is>
          <t>Q-095</t>
        </is>
      </c>
      <c r="D43" s="27" t="inlineStr">
        <is>
          <t>https://www.softwareadvice.com/media/video-editing-comparison/</t>
        </is>
      </c>
      <c r="E43" s="27" t="inlineStr">
        <is>
          <t>data/evidence/citations/CIT-029.json</t>
        </is>
      </c>
      <c r="F43" s="27" t="inlineStr">
        <is>
          <t>Captures SMB and creator studio buyers comparing subscription vs credit-based pricing.</t>
        </is>
      </c>
      <c r="G43" s="27" t="inlineStr">
        <is>
          <t>Include IncuBrix's 1-year credit validity policy and 5-platform publishing capability in the vendor comparison profile.</t>
        </is>
      </c>
      <c r="H43" s="27" t="inlineStr">
        <is>
          <t>softwareadvice.com</t>
        </is>
      </c>
      <c r="I43" s="27" t="inlineStr">
        <is>
          <t>Pending WAF Check</t>
        </is>
      </c>
      <c r="J43" s="28">
        <f>IF(A43="","",IF(COUNTIF($A$5:$A$84,A43)&gt;1,"DUPLICATE","UNIQUE"))</f>
        <v/>
      </c>
      <c r="K43" s="28">
        <f>IF(A43="","",IF(AND(B43&lt;&gt;"",C43&lt;&gt;"",D43&lt;&gt;"",E43&lt;&gt;"",F43&lt;&gt;"",I43&lt;&gt;""),"COMPLETE","MISSING FIELDS"))</f>
        <v/>
      </c>
    </row>
    <row r="44" ht="15" customHeight="1" s="15">
      <c r="A44" s="27" t="inlineStr">
        <is>
          <t>C-030</t>
        </is>
      </c>
      <c r="B44" s="27" t="inlineStr">
        <is>
          <t>Citation target</t>
        </is>
      </c>
      <c r="C44" s="27" t="inlineStr">
        <is>
          <t>Q-085</t>
        </is>
      </c>
      <c r="D44" s="27" t="inlineStr">
        <is>
          <t>https://llmstxt.org/</t>
        </is>
      </c>
      <c r="E44" s="27" t="inlineStr">
        <is>
          <t>data/evidence/citations/CIT-030.json</t>
        </is>
      </c>
      <c r="F44" s="27" t="inlineStr">
        <is>
          <t>Once IncuBrix deploys `/llms.txt` (Fixing `ISS-002`), listing `https://incubrix.com/llms.txt` in community directories accelerates AI crawler indexing.</t>
        </is>
      </c>
      <c r="G44" s="27" t="inlineStr">
        <is>
          <t>Deploy the validated `/llms.txt` file generated in Issue ISS-002 to `https://incubrix.com/llms.txt` and submit to public `llms.txt` adopter directories.</t>
        </is>
      </c>
      <c r="H44" s="27" t="inlineStr">
        <is>
          <t>llmstxt.org</t>
        </is>
      </c>
      <c r="I44" s="27" t="inlineStr">
        <is>
          <t>Verified Live</t>
        </is>
      </c>
      <c r="J44" s="28">
        <f>IF(A44="","",IF(COUNTIF($A$5:$A$84,A44)&gt;1,"DUPLICATE","UNIQUE"))</f>
        <v/>
      </c>
      <c r="K44" s="28">
        <f>IF(A44="","",IF(AND(B44&lt;&gt;"",C44&lt;&gt;"",D44&lt;&gt;"",E44&lt;&gt;"",F44&lt;&gt;"",I44&lt;&gt;""),"COMPLETE","MISSING FIELDS"))</f>
        <v/>
      </c>
    </row>
    <row r="45" ht="15" customHeight="1" s="15">
      <c r="A45" s="27" t="n"/>
      <c r="B45" s="27" t="n"/>
      <c r="C45" s="27" t="n"/>
      <c r="D45" s="27" t="n"/>
      <c r="E45" s="27" t="n"/>
      <c r="F45" s="27" t="n"/>
      <c r="G45" s="27" t="n"/>
      <c r="H45" s="27" t="n"/>
      <c r="I45" s="27" t="n"/>
      <c r="J45" s="28">
        <f>IF(A45="","",IF(COUNTIF($A$5:$A$84,A45)&gt;1,"DUPLICATE","UNIQUE"))</f>
        <v/>
      </c>
      <c r="K45" s="28">
        <f>IF(A45="","",IF(AND(B45&lt;&gt;"",C45&lt;&gt;"",D45&lt;&gt;"",E45&lt;&gt;"",F45&lt;&gt;"",I45&lt;&gt;""),"COMPLETE","MISSING FIELDS"))</f>
        <v/>
      </c>
    </row>
    <row r="46" ht="15" customHeight="1" s="15">
      <c r="A46" s="27" t="n"/>
      <c r="B46" s="27" t="n"/>
      <c r="C46" s="27" t="n"/>
      <c r="D46" s="27" t="n"/>
      <c r="E46" s="27" t="n"/>
      <c r="F46" s="27" t="n"/>
      <c r="G46" s="27" t="n"/>
      <c r="H46" s="27" t="n"/>
      <c r="I46" s="27" t="n"/>
      <c r="J46" s="28">
        <f>IF(A46="","",IF(COUNTIF($A$5:$A$84,A46)&gt;1,"DUPLICATE","UNIQUE"))</f>
        <v/>
      </c>
      <c r="K46" s="28">
        <f>IF(A46="","",IF(AND(B46&lt;&gt;"",C46&lt;&gt;"",D46&lt;&gt;"",E46&lt;&gt;"",F46&lt;&gt;"",I46&lt;&gt;""),"COMPLETE","MISSING FIELDS"))</f>
        <v/>
      </c>
    </row>
    <row r="47" ht="15" customHeight="1" s="15">
      <c r="A47" s="27" t="n"/>
      <c r="B47" s="27" t="n"/>
      <c r="C47" s="27" t="n"/>
      <c r="D47" s="27" t="n"/>
      <c r="E47" s="27" t="n"/>
      <c r="F47" s="27" t="n"/>
      <c r="G47" s="27" t="n"/>
      <c r="H47" s="27" t="n"/>
      <c r="I47" s="27" t="n"/>
      <c r="J47" s="28">
        <f>IF(A47="","",IF(COUNTIF($A$5:$A$84,A47)&gt;1,"DUPLICATE","UNIQUE"))</f>
        <v/>
      </c>
      <c r="K47" s="28">
        <f>IF(A47="","",IF(AND(B47&lt;&gt;"",C47&lt;&gt;"",D47&lt;&gt;"",E47&lt;&gt;"",F47&lt;&gt;"",I47&lt;&gt;""),"COMPLETE","MISSING FIELDS"))</f>
        <v/>
      </c>
    </row>
    <row r="48" ht="15" customHeight="1" s="15">
      <c r="A48" s="27" t="n"/>
      <c r="B48" s="27" t="n"/>
      <c r="C48" s="27" t="n"/>
      <c r="D48" s="27" t="n"/>
      <c r="E48" s="27" t="n"/>
      <c r="F48" s="27" t="n"/>
      <c r="G48" s="27" t="n"/>
      <c r="H48" s="27" t="n"/>
      <c r="I48" s="27" t="n"/>
      <c r="J48" s="28">
        <f>IF(A48="","",IF(COUNTIF($A$5:$A$84,A48)&gt;1,"DUPLICATE","UNIQUE"))</f>
        <v/>
      </c>
      <c r="K48" s="28">
        <f>IF(A48="","",IF(AND(B48&lt;&gt;"",C48&lt;&gt;"",D48&lt;&gt;"",E48&lt;&gt;"",F48&lt;&gt;"",I48&lt;&gt;""),"COMPLETE","MISSING FIELDS"))</f>
        <v/>
      </c>
    </row>
    <row r="49" ht="15" customHeight="1" s="15">
      <c r="A49" s="27" t="n"/>
      <c r="B49" s="27" t="n"/>
      <c r="C49" s="27" t="n"/>
      <c r="D49" s="27" t="n"/>
      <c r="E49" s="27" t="n"/>
      <c r="F49" s="27" t="n"/>
      <c r="G49" s="27" t="n"/>
      <c r="H49" s="27" t="n"/>
      <c r="I49" s="27" t="n"/>
      <c r="J49" s="28">
        <f>IF(A49="","",IF(COUNTIF($A$5:$A$84,A49)&gt;1,"DUPLICATE","UNIQUE"))</f>
        <v/>
      </c>
      <c r="K49" s="28">
        <f>IF(A49="","",IF(AND(B49&lt;&gt;"",C49&lt;&gt;"",D49&lt;&gt;"",E49&lt;&gt;"",F49&lt;&gt;"",I49&lt;&gt;""),"COMPLETE","MISSING FIELDS"))</f>
        <v/>
      </c>
    </row>
    <row r="50" ht="15" customHeight="1" s="15">
      <c r="A50" s="27" t="n"/>
      <c r="B50" s="27" t="n"/>
      <c r="C50" s="27" t="n"/>
      <c r="D50" s="27" t="n"/>
      <c r="E50" s="27" t="n"/>
      <c r="F50" s="27" t="n"/>
      <c r="G50" s="27" t="n"/>
      <c r="H50" s="27" t="n"/>
      <c r="I50" s="27" t="n"/>
      <c r="J50" s="28">
        <f>IF(A50="","",IF(COUNTIF($A$5:$A$84,A50)&gt;1,"DUPLICATE","UNIQUE"))</f>
        <v/>
      </c>
      <c r="K50" s="28">
        <f>IF(A50="","",IF(AND(B50&lt;&gt;"",C50&lt;&gt;"",D50&lt;&gt;"",E50&lt;&gt;"",F50&lt;&gt;"",I50&lt;&gt;""),"COMPLETE","MISSING FIELDS"))</f>
        <v/>
      </c>
    </row>
    <row r="51" ht="15" customHeight="1" s="15">
      <c r="A51" s="27" t="n"/>
      <c r="B51" s="27" t="n"/>
      <c r="C51" s="27" t="n"/>
      <c r="D51" s="27" t="n"/>
      <c r="E51" s="27" t="n"/>
      <c r="F51" s="27" t="n"/>
      <c r="G51" s="27" t="n"/>
      <c r="H51" s="27" t="n"/>
      <c r="I51" s="27" t="n"/>
      <c r="J51" s="28">
        <f>IF(A51="","",IF(COUNTIF($A$5:$A$84,A51)&gt;1,"DUPLICATE","UNIQUE"))</f>
        <v/>
      </c>
      <c r="K51" s="28">
        <f>IF(A51="","",IF(AND(B51&lt;&gt;"",C51&lt;&gt;"",D51&lt;&gt;"",E51&lt;&gt;"",F51&lt;&gt;"",I51&lt;&gt;""),"COMPLETE","MISSING FIELDS"))</f>
        <v/>
      </c>
    </row>
    <row r="52" ht="15" customHeight="1" s="15">
      <c r="A52" s="27" t="n"/>
      <c r="B52" s="27" t="n"/>
      <c r="C52" s="27" t="n"/>
      <c r="D52" s="27" t="n"/>
      <c r="E52" s="27" t="n"/>
      <c r="F52" s="27" t="n"/>
      <c r="G52" s="27" t="n"/>
      <c r="H52" s="27" t="n"/>
      <c r="I52" s="27" t="n"/>
      <c r="J52" s="28">
        <f>IF(A52="","",IF(COUNTIF($A$5:$A$84,A52)&gt;1,"DUPLICATE","UNIQUE"))</f>
        <v/>
      </c>
      <c r="K52" s="28">
        <f>IF(A52="","",IF(AND(B52&lt;&gt;"",C52&lt;&gt;"",D52&lt;&gt;"",E52&lt;&gt;"",F52&lt;&gt;"",I52&lt;&gt;""),"COMPLETE","MISSING FIELDS"))</f>
        <v/>
      </c>
    </row>
    <row r="53" ht="15" customHeight="1" s="15">
      <c r="A53" s="27" t="n"/>
      <c r="B53" s="27" t="n"/>
      <c r="C53" s="27" t="n"/>
      <c r="D53" s="27" t="n"/>
      <c r="E53" s="27" t="n"/>
      <c r="F53" s="27" t="n"/>
      <c r="G53" s="27" t="n"/>
      <c r="H53" s="27" t="n"/>
      <c r="I53" s="27" t="n"/>
      <c r="J53" s="28">
        <f>IF(A53="","",IF(COUNTIF($A$5:$A$84,A53)&gt;1,"DUPLICATE","UNIQUE"))</f>
        <v/>
      </c>
      <c r="K53" s="28">
        <f>IF(A53="","",IF(AND(B53&lt;&gt;"",C53&lt;&gt;"",D53&lt;&gt;"",E53&lt;&gt;"",F53&lt;&gt;"",I53&lt;&gt;""),"COMPLETE","MISSING FIELDS"))</f>
        <v/>
      </c>
    </row>
    <row r="54" ht="15" customHeight="1" s="15">
      <c r="A54" s="27" t="n"/>
      <c r="B54" s="27" t="n"/>
      <c r="C54" s="27" t="n"/>
      <c r="D54" s="27" t="n"/>
      <c r="E54" s="27" t="n"/>
      <c r="F54" s="27" t="n"/>
      <c r="G54" s="27" t="n"/>
      <c r="H54" s="27" t="n"/>
      <c r="I54" s="27" t="n"/>
      <c r="J54" s="28">
        <f>IF(A54="","",IF(COUNTIF($A$5:$A$84,A54)&gt;1,"DUPLICATE","UNIQUE"))</f>
        <v/>
      </c>
      <c r="K54" s="28">
        <f>IF(A54="","",IF(AND(B54&lt;&gt;"",C54&lt;&gt;"",D54&lt;&gt;"",E54&lt;&gt;"",F54&lt;&gt;"",I54&lt;&gt;""),"COMPLETE","MISSING FIELDS"))</f>
        <v/>
      </c>
    </row>
    <row r="55" ht="15" customHeight="1" s="15">
      <c r="A55" s="27" t="n"/>
      <c r="B55" s="27" t="n"/>
      <c r="C55" s="27" t="n"/>
      <c r="D55" s="27" t="n"/>
      <c r="E55" s="27" t="n"/>
      <c r="F55" s="27" t="n"/>
      <c r="G55" s="27" t="n"/>
      <c r="H55" s="27" t="n"/>
      <c r="I55" s="27" t="n"/>
      <c r="J55" s="28">
        <f>IF(A55="","",IF(COUNTIF($A$5:$A$84,A55)&gt;1,"DUPLICATE","UNIQUE"))</f>
        <v/>
      </c>
      <c r="K55" s="28">
        <f>IF(A55="","",IF(AND(B55&lt;&gt;"",C55&lt;&gt;"",D55&lt;&gt;"",E55&lt;&gt;"",F55&lt;&gt;"",I55&lt;&gt;""),"COMPLETE","MISSING FIELDS"))</f>
        <v/>
      </c>
    </row>
    <row r="56" ht="15" customHeight="1" s="15">
      <c r="A56" s="27" t="n"/>
      <c r="B56" s="27" t="n"/>
      <c r="C56" s="27" t="n"/>
      <c r="D56" s="27" t="n"/>
      <c r="E56" s="27" t="n"/>
      <c r="F56" s="27" t="n"/>
      <c r="G56" s="27" t="n"/>
      <c r="H56" s="27" t="n"/>
      <c r="I56" s="27" t="n"/>
      <c r="J56" s="28">
        <f>IF(A56="","",IF(COUNTIF($A$5:$A$84,A56)&gt;1,"DUPLICATE","UNIQUE"))</f>
        <v/>
      </c>
      <c r="K56" s="28">
        <f>IF(A56="","",IF(AND(B56&lt;&gt;"",C56&lt;&gt;"",D56&lt;&gt;"",E56&lt;&gt;"",F56&lt;&gt;"",I56&lt;&gt;""),"COMPLETE","MISSING FIELDS"))</f>
        <v/>
      </c>
    </row>
    <row r="57" ht="15" customHeight="1" s="15">
      <c r="A57" s="27" t="n"/>
      <c r="B57" s="27" t="n"/>
      <c r="C57" s="27" t="n"/>
      <c r="D57" s="27" t="n"/>
      <c r="E57" s="27" t="n"/>
      <c r="F57" s="27" t="n"/>
      <c r="G57" s="27" t="n"/>
      <c r="H57" s="27" t="n"/>
      <c r="I57" s="27" t="n"/>
      <c r="J57" s="28">
        <f>IF(A57="","",IF(COUNTIF($A$5:$A$84,A57)&gt;1,"DUPLICATE","UNIQUE"))</f>
        <v/>
      </c>
      <c r="K57" s="28">
        <f>IF(A57="","",IF(AND(B57&lt;&gt;"",C57&lt;&gt;"",D57&lt;&gt;"",E57&lt;&gt;"",F57&lt;&gt;"",I57&lt;&gt;""),"COMPLETE","MISSING FIELDS"))</f>
        <v/>
      </c>
    </row>
    <row r="58" ht="15" customHeight="1" s="15">
      <c r="A58" s="27" t="n"/>
      <c r="B58" s="27" t="n"/>
      <c r="C58" s="27" t="n"/>
      <c r="D58" s="27" t="n"/>
      <c r="E58" s="27" t="n"/>
      <c r="F58" s="27" t="n"/>
      <c r="G58" s="27" t="n"/>
      <c r="H58" s="27" t="n"/>
      <c r="I58" s="27" t="n"/>
      <c r="J58" s="28">
        <f>IF(A58="","",IF(COUNTIF($A$5:$A$84,A58)&gt;1,"DUPLICATE","UNIQUE"))</f>
        <v/>
      </c>
      <c r="K58" s="28">
        <f>IF(A58="","",IF(AND(B58&lt;&gt;"",C58&lt;&gt;"",D58&lt;&gt;"",E58&lt;&gt;"",F58&lt;&gt;"",I58&lt;&gt;""),"COMPLETE","MISSING FIELDS"))</f>
        <v/>
      </c>
    </row>
    <row r="59" ht="15" customHeight="1" s="15">
      <c r="A59" s="27" t="n"/>
      <c r="B59" s="27" t="n"/>
      <c r="C59" s="27" t="n"/>
      <c r="D59" s="27" t="n"/>
      <c r="E59" s="27" t="n"/>
      <c r="F59" s="27" t="n"/>
      <c r="G59" s="27" t="n"/>
      <c r="H59" s="27" t="n"/>
      <c r="I59" s="27" t="n"/>
      <c r="J59" s="28">
        <f>IF(A59="","",IF(COUNTIF($A$5:$A$84,A59)&gt;1,"DUPLICATE","UNIQUE"))</f>
        <v/>
      </c>
      <c r="K59" s="28">
        <f>IF(A59="","",IF(AND(B59&lt;&gt;"",C59&lt;&gt;"",D59&lt;&gt;"",E59&lt;&gt;"",F59&lt;&gt;"",I59&lt;&gt;""),"COMPLETE","MISSING FIELDS"))</f>
        <v/>
      </c>
    </row>
    <row r="60" ht="15" customHeight="1" s="15">
      <c r="A60" s="27" t="n"/>
      <c r="B60" s="27" t="n"/>
      <c r="C60" s="27" t="n"/>
      <c r="D60" s="27" t="n"/>
      <c r="E60" s="27" t="n"/>
      <c r="F60" s="27" t="n"/>
      <c r="G60" s="27" t="n"/>
      <c r="H60" s="27" t="n"/>
      <c r="I60" s="27" t="n"/>
      <c r="J60" s="28">
        <f>IF(A60="","",IF(COUNTIF($A$5:$A$84,A60)&gt;1,"DUPLICATE","UNIQUE"))</f>
        <v/>
      </c>
      <c r="K60" s="28">
        <f>IF(A60="","",IF(AND(B60&lt;&gt;"",C60&lt;&gt;"",D60&lt;&gt;"",E60&lt;&gt;"",F60&lt;&gt;"",I60&lt;&gt;""),"COMPLETE","MISSING FIELDS"))</f>
        <v/>
      </c>
    </row>
    <row r="61" ht="15" customHeight="1" s="15">
      <c r="A61" s="27" t="n"/>
      <c r="B61" s="27" t="n"/>
      <c r="C61" s="27" t="n"/>
      <c r="D61" s="27" t="n"/>
      <c r="E61" s="27" t="n"/>
      <c r="F61" s="27" t="n"/>
      <c r="G61" s="27" t="n"/>
      <c r="H61" s="27" t="n"/>
      <c r="I61" s="27" t="n"/>
      <c r="J61" s="28">
        <f>IF(A61="","",IF(COUNTIF($A$5:$A$84,A61)&gt;1,"DUPLICATE","UNIQUE"))</f>
        <v/>
      </c>
      <c r="K61" s="28">
        <f>IF(A61="","",IF(AND(B61&lt;&gt;"",C61&lt;&gt;"",D61&lt;&gt;"",E61&lt;&gt;"",F61&lt;&gt;"",I61&lt;&gt;""),"COMPLETE","MISSING FIELDS"))</f>
        <v/>
      </c>
    </row>
    <row r="62" ht="15" customHeight="1" s="15">
      <c r="A62" s="27" t="n"/>
      <c r="B62" s="27" t="n"/>
      <c r="C62" s="27" t="n"/>
      <c r="D62" s="27" t="n"/>
      <c r="E62" s="27" t="n"/>
      <c r="F62" s="27" t="n"/>
      <c r="G62" s="27" t="n"/>
      <c r="H62" s="27" t="n"/>
      <c r="I62" s="27" t="n"/>
      <c r="J62" s="28">
        <f>IF(A62="","",IF(COUNTIF($A$5:$A$84,A62)&gt;1,"DUPLICATE","UNIQUE"))</f>
        <v/>
      </c>
      <c r="K62" s="28">
        <f>IF(A62="","",IF(AND(B62&lt;&gt;"",C62&lt;&gt;"",D62&lt;&gt;"",E62&lt;&gt;"",F62&lt;&gt;"",I62&lt;&gt;""),"COMPLETE","MISSING FIELDS"))</f>
        <v/>
      </c>
    </row>
    <row r="63" ht="15" customHeight="1" s="15">
      <c r="A63" s="27" t="n"/>
      <c r="B63" s="27" t="n"/>
      <c r="C63" s="27" t="n"/>
      <c r="D63" s="27" t="n"/>
      <c r="E63" s="27" t="n"/>
      <c r="F63" s="27" t="n"/>
      <c r="G63" s="27" t="n"/>
      <c r="H63" s="27" t="n"/>
      <c r="I63" s="27" t="n"/>
      <c r="J63" s="28">
        <f>IF(A63="","",IF(COUNTIF($A$5:$A$84,A63)&gt;1,"DUPLICATE","UNIQUE"))</f>
        <v/>
      </c>
      <c r="K63" s="28">
        <f>IF(A63="","",IF(AND(B63&lt;&gt;"",C63&lt;&gt;"",D63&lt;&gt;"",E63&lt;&gt;"",F63&lt;&gt;"",I63&lt;&gt;""),"COMPLETE","MISSING FIELDS"))</f>
        <v/>
      </c>
    </row>
    <row r="64" ht="15" customHeight="1" s="15">
      <c r="A64" s="27" t="n"/>
      <c r="B64" s="27" t="n"/>
      <c r="C64" s="27" t="n"/>
      <c r="D64" s="27" t="n"/>
      <c r="E64" s="27" t="n"/>
      <c r="F64" s="27" t="n"/>
      <c r="G64" s="27" t="n"/>
      <c r="H64" s="27" t="n"/>
      <c r="I64" s="27" t="n"/>
      <c r="J64" s="28">
        <f>IF(A64="","",IF(COUNTIF($A$5:$A$84,A64)&gt;1,"DUPLICATE","UNIQUE"))</f>
        <v/>
      </c>
      <c r="K64" s="28">
        <f>IF(A64="","",IF(AND(B64&lt;&gt;"",C64&lt;&gt;"",D64&lt;&gt;"",E64&lt;&gt;"",F64&lt;&gt;"",I64&lt;&gt;""),"COMPLETE","MISSING FIELDS"))</f>
        <v/>
      </c>
    </row>
    <row r="65" ht="15" customHeight="1" s="15">
      <c r="A65" s="27" t="n"/>
      <c r="B65" s="27" t="n"/>
      <c r="C65" s="27" t="n"/>
      <c r="D65" s="27" t="n"/>
      <c r="E65" s="27" t="n"/>
      <c r="F65" s="27" t="n"/>
      <c r="G65" s="27" t="n"/>
      <c r="H65" s="27" t="n"/>
      <c r="I65" s="27" t="n"/>
      <c r="J65" s="28">
        <f>IF(A65="","",IF(COUNTIF($A$5:$A$84,A65)&gt;1,"DUPLICATE","UNIQUE"))</f>
        <v/>
      </c>
      <c r="K65" s="28">
        <f>IF(A65="","",IF(AND(B65&lt;&gt;"",C65&lt;&gt;"",D65&lt;&gt;"",E65&lt;&gt;"",F65&lt;&gt;"",I65&lt;&gt;""),"COMPLETE","MISSING FIELDS"))</f>
        <v/>
      </c>
    </row>
    <row r="66" ht="15" customHeight="1" s="15">
      <c r="A66" s="27" t="n"/>
      <c r="B66" s="27" t="n"/>
      <c r="C66" s="27" t="n"/>
      <c r="D66" s="27" t="n"/>
      <c r="E66" s="27" t="n"/>
      <c r="F66" s="27" t="n"/>
      <c r="G66" s="27" t="n"/>
      <c r="H66" s="27" t="n"/>
      <c r="I66" s="27" t="n"/>
      <c r="J66" s="28">
        <f>IF(A66="","",IF(COUNTIF($A$5:$A$84,A66)&gt;1,"DUPLICATE","UNIQUE"))</f>
        <v/>
      </c>
      <c r="K66" s="28">
        <f>IF(A66="","",IF(AND(B66&lt;&gt;"",C66&lt;&gt;"",D66&lt;&gt;"",E66&lt;&gt;"",F66&lt;&gt;"",I66&lt;&gt;""),"COMPLETE","MISSING FIELDS"))</f>
        <v/>
      </c>
    </row>
    <row r="67" ht="15" customHeight="1" s="15">
      <c r="A67" s="27" t="n"/>
      <c r="B67" s="27" t="n"/>
      <c r="C67" s="27" t="n"/>
      <c r="D67" s="27" t="n"/>
      <c r="E67" s="27" t="n"/>
      <c r="F67" s="27" t="n"/>
      <c r="G67" s="27" t="n"/>
      <c r="H67" s="27" t="n"/>
      <c r="I67" s="27" t="n"/>
      <c r="J67" s="28">
        <f>IF(A67="","",IF(COUNTIF($A$5:$A$84,A67)&gt;1,"DUPLICATE","UNIQUE"))</f>
        <v/>
      </c>
      <c r="K67" s="28">
        <f>IF(A67="","",IF(AND(B67&lt;&gt;"",C67&lt;&gt;"",D67&lt;&gt;"",E67&lt;&gt;"",F67&lt;&gt;"",I67&lt;&gt;""),"COMPLETE","MISSING FIELDS"))</f>
        <v/>
      </c>
    </row>
    <row r="68" ht="15" customHeight="1" s="15">
      <c r="A68" s="27" t="n"/>
      <c r="B68" s="27" t="n"/>
      <c r="C68" s="27" t="n"/>
      <c r="D68" s="27" t="n"/>
      <c r="E68" s="27" t="n"/>
      <c r="F68" s="27" t="n"/>
      <c r="G68" s="27" t="n"/>
      <c r="H68" s="27" t="n"/>
      <c r="I68" s="27" t="n"/>
      <c r="J68" s="28">
        <f>IF(A68="","",IF(COUNTIF($A$5:$A$84,A68)&gt;1,"DUPLICATE","UNIQUE"))</f>
        <v/>
      </c>
      <c r="K68" s="28">
        <f>IF(A68="","",IF(AND(B68&lt;&gt;"",C68&lt;&gt;"",D68&lt;&gt;"",E68&lt;&gt;"",F68&lt;&gt;"",I68&lt;&gt;""),"COMPLETE","MISSING FIELDS"))</f>
        <v/>
      </c>
    </row>
    <row r="69" ht="15" customHeight="1" s="15">
      <c r="A69" s="27" t="n"/>
      <c r="B69" s="27" t="n"/>
      <c r="C69" s="27" t="n"/>
      <c r="D69" s="27" t="n"/>
      <c r="E69" s="27" t="n"/>
      <c r="F69" s="27" t="n"/>
      <c r="G69" s="27" t="n"/>
      <c r="H69" s="27" t="n"/>
      <c r="I69" s="27" t="n"/>
      <c r="J69" s="28">
        <f>IF(A69="","",IF(COUNTIF($A$5:$A$84,A69)&gt;1,"DUPLICATE","UNIQUE"))</f>
        <v/>
      </c>
      <c r="K69" s="28">
        <f>IF(A69="","",IF(AND(B69&lt;&gt;"",C69&lt;&gt;"",D69&lt;&gt;"",E69&lt;&gt;"",F69&lt;&gt;"",I69&lt;&gt;""),"COMPLETE","MISSING FIELDS"))</f>
        <v/>
      </c>
    </row>
    <row r="70" ht="15" customHeight="1" s="15">
      <c r="A70" s="27" t="n"/>
      <c r="B70" s="27" t="n"/>
      <c r="C70" s="27" t="n"/>
      <c r="D70" s="27" t="n"/>
      <c r="E70" s="27" t="n"/>
      <c r="F70" s="27" t="n"/>
      <c r="G70" s="27" t="n"/>
      <c r="H70" s="27" t="n"/>
      <c r="I70" s="27" t="n"/>
      <c r="J70" s="28">
        <f>IF(A70="","",IF(COUNTIF($A$5:$A$84,A70)&gt;1,"DUPLICATE","UNIQUE"))</f>
        <v/>
      </c>
      <c r="K70" s="28">
        <f>IF(A70="","",IF(AND(B70&lt;&gt;"",C70&lt;&gt;"",D70&lt;&gt;"",E70&lt;&gt;"",F70&lt;&gt;"",I70&lt;&gt;""),"COMPLETE","MISSING FIELDS"))</f>
        <v/>
      </c>
    </row>
    <row r="71" ht="15" customHeight="1" s="15">
      <c r="A71" s="27" t="n"/>
      <c r="B71" s="27" t="n"/>
      <c r="C71" s="27" t="n"/>
      <c r="D71" s="27" t="n"/>
      <c r="E71" s="27" t="n"/>
      <c r="F71" s="27" t="n"/>
      <c r="G71" s="27" t="n"/>
      <c r="H71" s="27" t="n"/>
      <c r="I71" s="27" t="n"/>
      <c r="J71" s="28">
        <f>IF(A71="","",IF(COUNTIF($A$5:$A$84,A71)&gt;1,"DUPLICATE","UNIQUE"))</f>
        <v/>
      </c>
      <c r="K71" s="28">
        <f>IF(A71="","",IF(AND(B71&lt;&gt;"",C71&lt;&gt;"",D71&lt;&gt;"",E71&lt;&gt;"",F71&lt;&gt;"",I71&lt;&gt;""),"COMPLETE","MISSING FIELDS"))</f>
        <v/>
      </c>
    </row>
    <row r="72" ht="15" customHeight="1" s="15">
      <c r="A72" s="27" t="n"/>
      <c r="B72" s="27" t="n"/>
      <c r="C72" s="27" t="n"/>
      <c r="D72" s="27" t="n"/>
      <c r="E72" s="27" t="n"/>
      <c r="F72" s="27" t="n"/>
      <c r="G72" s="27" t="n"/>
      <c r="H72" s="27" t="n"/>
      <c r="I72" s="27" t="n"/>
      <c r="J72" s="28">
        <f>IF(A72="","",IF(COUNTIF($A$5:$A$84,A72)&gt;1,"DUPLICATE","UNIQUE"))</f>
        <v/>
      </c>
      <c r="K72" s="28">
        <f>IF(A72="","",IF(AND(B72&lt;&gt;"",C72&lt;&gt;"",D72&lt;&gt;"",E72&lt;&gt;"",F72&lt;&gt;"",I72&lt;&gt;""),"COMPLETE","MISSING FIELDS"))</f>
        <v/>
      </c>
    </row>
    <row r="73" ht="15" customHeight="1" s="15">
      <c r="A73" s="27" t="n"/>
      <c r="B73" s="27" t="n"/>
      <c r="C73" s="27" t="n"/>
      <c r="D73" s="27" t="n"/>
      <c r="E73" s="27" t="n"/>
      <c r="F73" s="27" t="n"/>
      <c r="G73" s="27" t="n"/>
      <c r="H73" s="27" t="n"/>
      <c r="I73" s="27" t="n"/>
      <c r="J73" s="28">
        <f>IF(A73="","",IF(COUNTIF($A$5:$A$84,A73)&gt;1,"DUPLICATE","UNIQUE"))</f>
        <v/>
      </c>
      <c r="K73" s="28">
        <f>IF(A73="","",IF(AND(B73&lt;&gt;"",C73&lt;&gt;"",D73&lt;&gt;"",E73&lt;&gt;"",F73&lt;&gt;"",I73&lt;&gt;""),"COMPLETE","MISSING FIELDS"))</f>
        <v/>
      </c>
    </row>
    <row r="74" ht="15" customHeight="1" s="15">
      <c r="A74" s="27" t="n"/>
      <c r="B74" s="27" t="n"/>
      <c r="C74" s="27" t="n"/>
      <c r="D74" s="27" t="n"/>
      <c r="E74" s="27" t="n"/>
      <c r="F74" s="27" t="n"/>
      <c r="G74" s="27" t="n"/>
      <c r="H74" s="27" t="n"/>
      <c r="I74" s="27" t="n"/>
      <c r="J74" s="28">
        <f>IF(A74="","",IF(COUNTIF($A$5:$A$84,A74)&gt;1,"DUPLICATE","UNIQUE"))</f>
        <v/>
      </c>
      <c r="K74" s="28">
        <f>IF(A74="","",IF(AND(B74&lt;&gt;"",C74&lt;&gt;"",D74&lt;&gt;"",E74&lt;&gt;"",F74&lt;&gt;"",I74&lt;&gt;""),"COMPLETE","MISSING FIELDS"))</f>
        <v/>
      </c>
    </row>
    <row r="75" ht="15" customHeight="1" s="15">
      <c r="A75" s="27" t="n"/>
      <c r="B75" s="27" t="n"/>
      <c r="C75" s="27" t="n"/>
      <c r="D75" s="27" t="n"/>
      <c r="E75" s="27" t="n"/>
      <c r="F75" s="27" t="n"/>
      <c r="G75" s="27" t="n"/>
      <c r="H75" s="27" t="n"/>
      <c r="I75" s="27" t="n"/>
      <c r="J75" s="28">
        <f>IF(A75="","",IF(COUNTIF($A$5:$A$84,A75)&gt;1,"DUPLICATE","UNIQUE"))</f>
        <v/>
      </c>
      <c r="K75" s="28">
        <f>IF(A75="","",IF(AND(B75&lt;&gt;"",C75&lt;&gt;"",D75&lt;&gt;"",E75&lt;&gt;"",F75&lt;&gt;"",I75&lt;&gt;""),"COMPLETE","MISSING FIELDS"))</f>
        <v/>
      </c>
    </row>
    <row r="76" ht="15" customHeight="1" s="15">
      <c r="A76" s="27" t="n"/>
      <c r="B76" s="27" t="n"/>
      <c r="C76" s="27" t="n"/>
      <c r="D76" s="27" t="n"/>
      <c r="E76" s="27" t="n"/>
      <c r="F76" s="27" t="n"/>
      <c r="G76" s="27" t="n"/>
      <c r="H76" s="27" t="n"/>
      <c r="I76" s="27" t="n"/>
      <c r="J76" s="28">
        <f>IF(A76="","",IF(COUNTIF($A$5:$A$84,A76)&gt;1,"DUPLICATE","UNIQUE"))</f>
        <v/>
      </c>
      <c r="K76" s="28">
        <f>IF(A76="","",IF(AND(B76&lt;&gt;"",C76&lt;&gt;"",D76&lt;&gt;"",E76&lt;&gt;"",F76&lt;&gt;"",I76&lt;&gt;""),"COMPLETE","MISSING FIELDS"))</f>
        <v/>
      </c>
    </row>
    <row r="77" ht="15" customHeight="1" s="15">
      <c r="A77" s="27" t="n"/>
      <c r="B77" s="27" t="n"/>
      <c r="C77" s="27" t="n"/>
      <c r="D77" s="27" t="n"/>
      <c r="E77" s="27" t="n"/>
      <c r="F77" s="27" t="n"/>
      <c r="G77" s="27" t="n"/>
      <c r="H77" s="27" t="n"/>
      <c r="I77" s="27" t="n"/>
      <c r="J77" s="28">
        <f>IF(A77="","",IF(COUNTIF($A$5:$A$84,A77)&gt;1,"DUPLICATE","UNIQUE"))</f>
        <v/>
      </c>
      <c r="K77" s="28">
        <f>IF(A77="","",IF(AND(B77&lt;&gt;"",C77&lt;&gt;"",D77&lt;&gt;"",E77&lt;&gt;"",F77&lt;&gt;"",I77&lt;&gt;""),"COMPLETE","MISSING FIELDS"))</f>
        <v/>
      </c>
    </row>
    <row r="78" ht="15" customHeight="1" s="15">
      <c r="A78" s="27" t="n"/>
      <c r="B78" s="27" t="n"/>
      <c r="C78" s="27" t="n"/>
      <c r="D78" s="27" t="n"/>
      <c r="E78" s="27" t="n"/>
      <c r="F78" s="27" t="n"/>
      <c r="G78" s="27" t="n"/>
      <c r="H78" s="27" t="n"/>
      <c r="I78" s="27" t="n"/>
      <c r="J78" s="28">
        <f>IF(A78="","",IF(COUNTIF($A$5:$A$84,A78)&gt;1,"DUPLICATE","UNIQUE"))</f>
        <v/>
      </c>
      <c r="K78" s="28">
        <f>IF(A78="","",IF(AND(B78&lt;&gt;"",C78&lt;&gt;"",D78&lt;&gt;"",E78&lt;&gt;"",F78&lt;&gt;"",I78&lt;&gt;""),"COMPLETE","MISSING FIELDS"))</f>
        <v/>
      </c>
    </row>
    <row r="79" ht="15" customHeight="1" s="15">
      <c r="A79" s="27" t="n"/>
      <c r="B79" s="27" t="n"/>
      <c r="C79" s="27" t="n"/>
      <c r="D79" s="27" t="n"/>
      <c r="E79" s="27" t="n"/>
      <c r="F79" s="27" t="n"/>
      <c r="G79" s="27" t="n"/>
      <c r="H79" s="27" t="n"/>
      <c r="I79" s="27" t="n"/>
      <c r="J79" s="28">
        <f>IF(A79="","",IF(COUNTIF($A$5:$A$84,A79)&gt;1,"DUPLICATE","UNIQUE"))</f>
        <v/>
      </c>
      <c r="K79" s="28">
        <f>IF(A79="","",IF(AND(B79&lt;&gt;"",C79&lt;&gt;"",D79&lt;&gt;"",E79&lt;&gt;"",F79&lt;&gt;"",I79&lt;&gt;""),"COMPLETE","MISSING FIELDS"))</f>
        <v/>
      </c>
    </row>
    <row r="80" ht="15" customHeight="1" s="15">
      <c r="A80" s="27" t="n"/>
      <c r="B80" s="27" t="n"/>
      <c r="C80" s="27" t="n"/>
      <c r="D80" s="27" t="n"/>
      <c r="E80" s="27" t="n"/>
      <c r="F80" s="27" t="n"/>
      <c r="G80" s="27" t="n"/>
      <c r="H80" s="27" t="n"/>
      <c r="I80" s="27" t="n"/>
      <c r="J80" s="28">
        <f>IF(A80="","",IF(COUNTIF($A$5:$A$84,A80)&gt;1,"DUPLICATE","UNIQUE"))</f>
        <v/>
      </c>
      <c r="K80" s="28">
        <f>IF(A80="","",IF(AND(B80&lt;&gt;"",C80&lt;&gt;"",D80&lt;&gt;"",E80&lt;&gt;"",F80&lt;&gt;"",I80&lt;&gt;""),"COMPLETE","MISSING FIELDS"))</f>
        <v/>
      </c>
    </row>
    <row r="81" ht="15" customHeight="1" s="15">
      <c r="A81" s="27" t="n"/>
      <c r="B81" s="27" t="n"/>
      <c r="C81" s="27" t="n"/>
      <c r="D81" s="27" t="n"/>
      <c r="E81" s="27" t="n"/>
      <c r="F81" s="27" t="n"/>
      <c r="G81" s="27" t="n"/>
      <c r="H81" s="27" t="n"/>
      <c r="I81" s="27" t="n"/>
      <c r="J81" s="28">
        <f>IF(A81="","",IF(COUNTIF($A$5:$A$84,A81)&gt;1,"DUPLICATE","UNIQUE"))</f>
        <v/>
      </c>
      <c r="K81" s="28">
        <f>IF(A81="","",IF(AND(B81&lt;&gt;"",C81&lt;&gt;"",D81&lt;&gt;"",E81&lt;&gt;"",F81&lt;&gt;"",I81&lt;&gt;""),"COMPLETE","MISSING FIELDS"))</f>
        <v/>
      </c>
    </row>
    <row r="82" ht="15" customHeight="1" s="15">
      <c r="A82" s="27" t="n"/>
      <c r="B82" s="27" t="n"/>
      <c r="C82" s="27" t="n"/>
      <c r="D82" s="27" t="n"/>
      <c r="E82" s="27" t="n"/>
      <c r="F82" s="27" t="n"/>
      <c r="G82" s="27" t="n"/>
      <c r="H82" s="27" t="n"/>
      <c r="I82" s="27" t="n"/>
      <c r="J82" s="28">
        <f>IF(A82="","",IF(COUNTIF($A$5:$A$84,A82)&gt;1,"DUPLICATE","UNIQUE"))</f>
        <v/>
      </c>
      <c r="K82" s="28">
        <f>IF(A82="","",IF(AND(B82&lt;&gt;"",C82&lt;&gt;"",D82&lt;&gt;"",E82&lt;&gt;"",F82&lt;&gt;"",I82&lt;&gt;""),"COMPLETE","MISSING FIELDS"))</f>
        <v/>
      </c>
    </row>
    <row r="83" ht="15" customHeight="1" s="15">
      <c r="A83" s="27" t="n"/>
      <c r="B83" s="27" t="n"/>
      <c r="C83" s="27" t="n"/>
      <c r="D83" s="27" t="n"/>
      <c r="E83" s="27" t="n"/>
      <c r="F83" s="27" t="n"/>
      <c r="G83" s="27" t="n"/>
      <c r="H83" s="27" t="n"/>
      <c r="I83" s="27" t="n"/>
      <c r="J83" s="28">
        <f>IF(A83="","",IF(COUNTIF($A$5:$A$84,A83)&gt;1,"DUPLICATE","UNIQUE"))</f>
        <v/>
      </c>
      <c r="K83" s="28">
        <f>IF(A83="","",IF(AND(B83&lt;&gt;"",C83&lt;&gt;"",D83&lt;&gt;"",E83&lt;&gt;"",F83&lt;&gt;"",I83&lt;&gt;""),"COMPLETE","MISSING FIELDS"))</f>
        <v/>
      </c>
    </row>
    <row r="84" ht="15" customHeight="1" s="15">
      <c r="A84" s="27" t="n"/>
      <c r="B84" s="27" t="n"/>
      <c r="C84" s="27" t="n"/>
      <c r="D84" s="27" t="n"/>
      <c r="E84" s="27" t="n"/>
      <c r="F84" s="27" t="n"/>
      <c r="G84" s="27" t="n"/>
      <c r="H84" s="27" t="n"/>
      <c r="I84" s="27" t="n"/>
      <c r="J84" s="28">
        <f>IF(A84="","",IF(COUNTIF($A$5:$A$84,A84)&gt;1,"DUPLICATE","UNIQUE"))</f>
        <v/>
      </c>
      <c r="K84" s="28">
        <f>IF(A84="","",IF(AND(B84&lt;&gt;"",C84&lt;&gt;"",D84&lt;&gt;"",E84&lt;&gt;"",F84&lt;&gt;"",I84&lt;&gt;""),"COMPLETE","MISSING FIELDS"))</f>
        <v/>
      </c>
    </row>
  </sheetData>
  <mergeCells count="2">
    <mergeCell ref="A2:K2"/>
    <mergeCell ref="A1:K1"/>
  </mergeCells>
  <conditionalFormatting sqref="J5:K84">
    <cfRule type="expression" rank="0" priority="2" equalAverage="0" aboveAverage="0" dxfId="0" text="" percent="0" bottom="0">
      <formula>OR(J5="DUPLICATE",K5="MISSING FIELDS",K5="ADD REASON")</formula>
    </cfRule>
  </conditionalFormatting>
  <dataValidations count="2">
    <dataValidation sqref="B5:B84" showDropDown="0" showInputMessage="0" showErrorMessage="0" allowBlank="1" type="list" errorStyle="stop" operator="between">
      <formula1>"Page,Citation target"</formula1>
      <formula2>0</formula2>
    </dataValidation>
    <dataValidation sqref="I5:I8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 (npm run setup &amp;&amp; npm start)</t>
        </is>
      </c>
      <c r="H6" s="23" t="inlineStr">
        <is>
          <t>Tested on Windows 11 PowerShell</t>
        </is>
      </c>
    </row>
    <row r="7" ht="15" customHeight="1" s="15">
      <c r="A7" s="24" t="inlineStr">
        <is>
          <t>Works on a fresh machine or account</t>
        </is>
      </c>
      <c r="B7" s="23" t="inlineStr">
        <is>
          <t>Yes</t>
        </is>
      </c>
      <c r="C7" s="23" t="inlineStr">
        <is>
          <t>package.json, Dockerfile, docker-compose.yml</t>
        </is>
      </c>
      <c r="H7" s="23" t="inlineStr">
        <is>
          <t>Zero external paid dependencies required</t>
        </is>
      </c>
    </row>
    <row r="8" ht="15" customHeight="1" s="15">
      <c r="A8" s="24" t="inlineStr">
        <is>
          <t>Removes duplicates</t>
        </is>
      </c>
      <c r="B8" s="23" t="inlineStr">
        <is>
          <t>Yes</t>
        </is>
      </c>
      <c r="C8" s="23" t="inlineStr">
        <is>
          <t>engine/questions_seed.py</t>
        </is>
      </c>
      <c r="H8" s="23" t="inlineStr">
        <is>
          <t>normalize_question_fingerprint preserves 6 duplicate variants</t>
        </is>
      </c>
    </row>
    <row r="9" ht="15" customHeight="1" s="15">
      <c r="A9" s="24" t="inlineStr">
        <is>
          <t>Quality checks before export</t>
        </is>
      </c>
      <c r="B9" s="23" t="inlineStr">
        <is>
          <t>Yes</t>
        </is>
      </c>
      <c r="C9" s="23" t="inlineStr">
        <is>
          <t>engine/content_studio.py &amp; engine/auditor.py</t>
        </is>
      </c>
      <c r="H9" s="23" t="inlineStr">
        <is>
          <t>Strict automated content and schema validators</t>
        </is>
      </c>
    </row>
    <row r="10" ht="15" customHeight="1" s="15">
      <c r="A10" s="24" t="inlineStr">
        <is>
          <t>Clean export in the official format</t>
        </is>
      </c>
      <c r="B10" s="23" t="inlineStr">
        <is>
          <t>Yes</t>
        </is>
      </c>
      <c r="C10" s="23" t="inlineStr">
        <is>
          <t>exports/visibility.csv &amp; submission/workbook/</t>
        </is>
      </c>
      <c r="H10" s="23" t="inlineStr">
        <is>
          <t>Exact 22-column specification matching template</t>
        </is>
      </c>
    </row>
    <row r="11" ht="23.85" customHeight="1" s="15">
      <c r="A11" s="24" t="inlineStr">
        <is>
          <t>Refresh updates existing items without duplicates</t>
        </is>
      </c>
      <c r="B11" s="23" t="inlineStr">
        <is>
          <t>Yes</t>
        </is>
      </c>
      <c r="C11" s="23" t="inlineStr">
        <is>
          <t>engine/visibility.py (upsert_observation)</t>
        </is>
      </c>
      <c r="H11" s="23" t="inlineStr">
        <is>
          <t>Idempotent rerun tested across dates and passes</t>
        </is>
      </c>
    </row>
    <row r="12" ht="15" customHeight="1" s="15">
      <c r="A12" s="24" t="inlineStr">
        <is>
          <t>Logs errors and recovers from a simple failure</t>
        </is>
      </c>
      <c r="B12" s="23" t="inlineStr">
        <is>
          <t>Yes</t>
        </is>
      </c>
      <c r="C12" s="23" t="inlineStr">
        <is>
          <t>engine/visibility.py &amp; engine/auditor.py</t>
        </is>
      </c>
      <c r="H12" s="23" t="inlineStr">
        <is>
          <t>HTTP 429 and socket timeout recovery tested</t>
        </is>
      </c>
    </row>
    <row r="13" ht="15" customHeight="1" s="15">
      <c r="A13" s="24" t="inlineStr">
        <is>
          <t>Tests included</t>
        </is>
      </c>
      <c r="B13" s="23" t="inlineStr">
        <is>
          <t>Yes</t>
        </is>
      </c>
      <c r="C13" s="23" t="inlineStr">
        <is>
          <t>tests/python/, tests/unit/, tests/e2e/</t>
        </is>
      </c>
      <c r="H13" s="23" t="inlineStr">
        <is>
          <t>14 automated tests across Python, Vitest, Playwright</t>
        </is>
      </c>
    </row>
    <row r="14" ht="15" customHeight="1" s="15">
      <c r="A14" s="24" t="inlineStr">
        <is>
          <t>No secrets in the repository</t>
        </is>
      </c>
      <c r="B14" s="23" t="inlineStr">
        <is>
          <t>Yes</t>
        </is>
      </c>
      <c r="C14" s="23" t="inlineStr">
        <is>
          <t>.env.example</t>
        </is>
      </c>
      <c r="H14" s="23" t="inlineStr">
        <is>
          <t>All credentials loaded from process.env with zero hardcoded keys</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100 questions</t>
        </is>
      </c>
      <c r="C18" s="23" t="inlineStr">
        <is>
          <t>100 rows</t>
        </is>
      </c>
      <c r="D18" s="23" t="inlineStr">
        <is>
          <t>0</t>
        </is>
      </c>
      <c r="E18" s="23" t="inlineStr">
        <is>
          <t>6 merged variants</t>
        </is>
      </c>
      <c r="F18" s="23" t="n">
        <v>0.05</v>
      </c>
      <c r="G18" s="23" t="inlineStr">
        <is>
          <t>$0.00</t>
        </is>
      </c>
      <c r="H18" s="23" t="inlineStr">
        <is>
          <t>logs/engine_runs.log &amp; exports/visibility.csv</t>
        </is>
      </c>
    </row>
    <row r="19" ht="15" customHeight="1" s="15">
      <c r="A19" s="22" t="inlineStr">
        <is>
          <t>Repeat run (same input)</t>
        </is>
      </c>
      <c r="B19" s="23" t="inlineStr">
        <is>
          <t>100 questions</t>
        </is>
      </c>
      <c r="C19" s="23" t="inlineStr">
        <is>
          <t>100 rows</t>
        </is>
      </c>
      <c r="D19" s="23" t="inlineStr">
        <is>
          <t>0</t>
        </is>
      </c>
      <c r="E19" s="23" t="inlineStr">
        <is>
          <t>0 new (idempotent)</t>
        </is>
      </c>
      <c r="F19" s="23" t="n">
        <v>0.02</v>
      </c>
      <c r="G19" s="23" t="inlineStr">
        <is>
          <t>$0.00</t>
        </is>
      </c>
      <c r="H19" s="23" t="inlineStr">
        <is>
          <t>logs/engine_runs.log (identical row counts)</t>
        </is>
      </c>
    </row>
    <row r="20" ht="15" customHeight="1" s="15">
      <c r="A20" s="22" t="inlineStr">
        <is>
          <t>Refresh (new input)</t>
        </is>
      </c>
      <c r="B20" s="23" t="inlineStr">
        <is>
          <t>15 new questions</t>
        </is>
      </c>
      <c r="C20" s="23" t="inlineStr">
        <is>
          <t>15 new rows</t>
        </is>
      </c>
      <c r="D20" s="23" t="inlineStr">
        <is>
          <t>0</t>
        </is>
      </c>
      <c r="E20" s="23" t="inlineStr">
        <is>
          <t>1 duplicate merged</t>
        </is>
      </c>
      <c r="F20" s="23" t="n">
        <v>0.01</v>
      </c>
      <c r="G20" s="23" t="inlineStr">
        <is>
          <t>$0.00</t>
        </is>
      </c>
      <c r="H20" s="23" t="inlineStr">
        <is>
          <t>logs/engine_runs.log (incremental upsert)</t>
        </is>
      </c>
    </row>
    <row r="21" ht="15" customHeight="1" s="15">
      <c r="A21" s="22" t="inlineStr">
        <is>
          <t>Failure and recovery</t>
        </is>
      </c>
      <c r="B21" s="23" t="inlineStr">
        <is>
          <t>10 simulated queries</t>
        </is>
      </c>
      <c r="C21" s="23" t="inlineStr">
        <is>
          <t>10 error rows logged</t>
        </is>
      </c>
      <c r="D21" s="23" t="inlineStr">
        <is>
          <t>0 (honest)</t>
        </is>
      </c>
      <c r="E21" s="23" t="inlineStr">
        <is>
          <t>0</t>
        </is>
      </c>
      <c r="F21" s="23" t="n">
        <v>0.01</v>
      </c>
      <c r="G21" s="23" t="inlineStr">
        <is>
          <t>$0.00</t>
        </is>
      </c>
      <c r="H21" s="23" t="inlineStr">
        <is>
          <t>logs/engine_runs.log (graceful retry/catch)</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Long-form podcasters and YouTubers recording 60-min episodes who spend 4+ hours editing clips</t>
        </is>
      </c>
      <c r="C24" s="17" t="n"/>
      <c r="D24" s="17" t="n"/>
      <c r="E24" s="17" t="n"/>
      <c r="F24" s="17" t="n"/>
      <c r="G24" s="17" t="n"/>
      <c r="H24" s="18" t="n"/>
    </row>
    <row r="25" ht="30" customHeight="1" s="15">
      <c r="A25" s="22" t="inlineStr">
        <is>
          <t>Channels / platforms and why</t>
        </is>
      </c>
      <c r="B25" s="23" t="inlineStr">
        <is>
          <t>YouTube Shorts, Instagram Reels, LinkedIn, Spotify Video, and Bluesky (unifies video, audio, social)</t>
        </is>
      </c>
      <c r="C25" s="17" t="n"/>
      <c r="D25" s="17" t="n"/>
      <c r="E25" s="17" t="n"/>
      <c r="F25" s="17" t="n"/>
      <c r="G25" s="17" t="n"/>
      <c r="H25" s="18" t="n"/>
    </row>
    <row r="26" ht="30" customHeight="1" s="15">
      <c r="A26" s="22" t="inlineStr">
        <is>
          <t>Week 1 actions (owner, tool, volume)</t>
        </is>
      </c>
      <c r="B26" s="23" t="inlineStr">
        <is>
          <t>Deploy ISS-001..ISS-004 JSON-LD &amp; ISS-002 /llms.txt (Owner: Growth Engineer / Tech Lead; Tool: Git/CMS; Budget: $0)</t>
        </is>
      </c>
      <c r="C26" s="17" t="n"/>
      <c r="D26" s="17" t="n"/>
      <c r="E26" s="17" t="n"/>
      <c r="F26" s="17" t="n"/>
      <c r="G26" s="17" t="n"/>
      <c r="H26" s="18" t="n"/>
    </row>
    <row r="27" ht="30" customHeight="1" s="15">
      <c r="A27" s="22" t="inlineStr">
        <is>
          <t>Weeks 2-4 actions</t>
        </is>
      </c>
      <c r="B27" s="23" t="inlineStr">
        <is>
          <t>Publish 10 Content Studio guides under /guides/, submit 15 Tier-1 software directory profiles (G2, Product Hunt)</t>
        </is>
      </c>
      <c r="C27" s="17" t="n"/>
      <c r="D27" s="17" t="n"/>
      <c r="E27" s="17" t="n"/>
      <c r="F27" s="17" t="n"/>
      <c r="G27" s="17" t="n"/>
      <c r="H27" s="18" t="n"/>
    </row>
    <row r="28" ht="30" customHeight="1" s="15">
      <c r="A28" s="22" t="inlineStr">
        <is>
          <t>Tools and monthly cost</t>
        </is>
      </c>
      <c r="B28" s="23" t="inlineStr">
        <is>
          <t>Google Search Console ($0), Gemini API ($5), Ahrefs Webmaster Tools ($0), Open-source engine ($0) -&gt; Total $5–$50/mo</t>
        </is>
      </c>
      <c r="C28" s="17" t="n"/>
      <c r="D28" s="17" t="n"/>
      <c r="E28" s="17" t="n"/>
      <c r="F28" s="17" t="n"/>
      <c r="G28" s="17" t="n"/>
      <c r="H28" s="18" t="n"/>
    </row>
    <row r="29" ht="30" customHeight="1" s="15">
      <c r="A29" s="22" t="inlineStr">
        <is>
          <t>Targets after 30 days (numbers)</t>
        </is>
      </c>
      <c r="B29" s="23" t="inlineStr">
        <is>
          <t>100% technical fixes deployed; 10 pages indexed; 3 Google Answer Boxes captured; +500 organic weekly creator visits</t>
        </is>
      </c>
      <c r="C29" s="17" t="n"/>
      <c r="D29" s="17" t="n"/>
      <c r="E29" s="17" t="n"/>
      <c r="F29" s="17" t="n"/>
      <c r="G29" s="17" t="n"/>
      <c r="H29" s="18" t="n"/>
    </row>
    <row r="30" ht="30" customHeight="1" s="15">
      <c r="A30" s="22" t="inlineStr">
        <is>
          <t>Biggest risk and how to handle it</t>
        </is>
      </c>
      <c r="B30" s="23" t="inlineStr">
        <is>
          <t>Live site changes require production access; mitigate by providing copy-paste patch files tested against Google validator</t>
        </is>
      </c>
      <c r="C30" s="17" t="n"/>
      <c r="D30" s="17" t="n"/>
      <c r="E30" s="17" t="n"/>
      <c r="F30" s="17" t="n"/>
      <c r="G30" s="17" t="n"/>
      <c r="H30" s="18" t="n"/>
    </row>
    <row r="31" ht="30" customHeight="1" s="15">
      <c r="A31" s="22" t="inlineStr">
        <is>
          <t>What IncuBrix must provide (accounts, access, budget)</t>
        </is>
      </c>
      <c r="B31" s="23" t="inlineStr">
        <is>
          <t>DNS/CMS access to deploy patches to incubrix.com, and Google Search Console user access for indexing tracking</t>
        </is>
      </c>
      <c r="C31" s="17" t="n"/>
      <c r="D31" s="17" t="n"/>
      <c r="E31" s="17" t="n"/>
      <c r="F31" s="17" t="n"/>
      <c r="G31" s="17" t="n"/>
      <c r="H31" s="18" t="n"/>
    </row>
  </sheetData>
  <mergeCells count="13">
    <mergeCell ref="A1:H1"/>
    <mergeCell ref="A4:H4"/>
    <mergeCell ref="B28:H28"/>
    <mergeCell ref="B26:H26"/>
    <mergeCell ref="B27:H27"/>
    <mergeCell ref="A16:H16"/>
    <mergeCell ref="A2:H2"/>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Real questions measured</t>
        </is>
      </c>
      <c r="B6" s="25" t="inlineStr">
        <is>
          <t>&gt;= 100</t>
        </is>
      </c>
      <c r="C6" s="23" t="n">
        <v>100</v>
      </c>
      <c r="D6" s="29">
        <f>COUNTA(02_QUESTIONS!B5:B304)</f>
        <v/>
      </c>
      <c r="E6" s="23" t="inlineStr">
        <is>
          <t>exports/visibility.csv &amp; 02_QUESTIONS</t>
        </is>
      </c>
      <c r="F6" s="26">
        <f>IF(C6="","",IF(C6&gt;=100,"MET","NOT MET"))</f>
        <v/>
      </c>
    </row>
    <row r="7" ht="15" customHeight="1" s="15">
      <c r="A7" s="24" t="inlineStr">
        <is>
          <t>AI assistants checked</t>
        </is>
      </c>
      <c r="B7" s="25" t="inlineStr">
        <is>
          <t>&gt;= 4</t>
        </is>
      </c>
      <c r="C7" s="23" t="n">
        <v>4</v>
      </c>
      <c r="D7" s="29" t="inlineStr">
        <is>
          <t>-</t>
        </is>
      </c>
      <c r="E7" s="23" t="inlineStr">
        <is>
          <t>engine/visibility.py (ChatGPT, Gemini, Perplexity, Claude)</t>
        </is>
      </c>
      <c r="F7" s="26">
        <f>IF(C7="","",IF(C7&gt;=4,"MET","NOT MET"))</f>
        <v/>
      </c>
    </row>
    <row r="8" ht="15" customHeight="1" s="15">
      <c r="A8" s="24" t="inlineStr">
        <is>
          <t>Days measured</t>
        </is>
      </c>
      <c r="B8" s="25" t="inlineStr">
        <is>
          <t>&gt;= 2</t>
        </is>
      </c>
      <c r="C8" s="23" t="n">
        <v>2</v>
      </c>
      <c r="D8" s="29" t="inlineStr">
        <is>
          <t>-</t>
        </is>
      </c>
      <c r="E8" s="23" t="inlineStr">
        <is>
          <t>data/evidence/observations/ (2026-10-24 &amp; 2026-10-25)</t>
        </is>
      </c>
      <c r="F8" s="26">
        <f>IF(C8="","",IF(C8&gt;=2,"MET","NOT MET"))</f>
        <v/>
      </c>
    </row>
    <row r="9" ht="15" customHeight="1" s="15">
      <c r="A9" s="24" t="inlineStr">
        <is>
          <t>Validated technical fixes</t>
        </is>
      </c>
      <c r="B9" s="25" t="inlineStr">
        <is>
          <t>&gt;= 20</t>
        </is>
      </c>
      <c r="C9" s="23" t="n">
        <v>22</v>
      </c>
      <c r="D9" s="29">
        <f>COUNTIF(02b_FIXES!H5:H54,"Yes")</f>
        <v/>
      </c>
      <c r="E9" s="23" t="inlineStr">
        <is>
          <t>data/patches/ISS-001..ISS-022 &amp; 02b_FIXES</t>
        </is>
      </c>
      <c r="F9" s="26">
        <f>IF(C9="","",IF(C9&gt;=20,"MET","NOT MET"))</f>
        <v/>
      </c>
    </row>
    <row r="10" ht="15" customHeight="1" s="15">
      <c r="A10" s="24" t="inlineStr">
        <is>
          <t>Publish-ready pages</t>
        </is>
      </c>
      <c r="B10" s="25" t="inlineStr">
        <is>
          <t>&gt;= 10</t>
        </is>
      </c>
      <c r="C10" s="23" t="n">
        <v>10</v>
      </c>
      <c r="D10" s="29">
        <f>COUNTIFS(02c_PAGES_CITATIONS!B5:B84,"Page",02c_PAGES_CITATIONS!I5:I84,"Ready")</f>
        <v/>
      </c>
      <c r="E10" s="23" t="inlineStr">
        <is>
          <t>exports/content_pages/ &amp; 02c_PAGES_CITATIONS</t>
        </is>
      </c>
      <c r="F10" s="26">
        <f>IF(C10="","",IF(C10&gt;=10,"MET","NOT MET"))</f>
        <v/>
      </c>
    </row>
    <row r="11" ht="15" customHeight="1" s="15">
      <c r="A11" s="24" t="inlineStr">
        <is>
          <t>Citation targets</t>
        </is>
      </c>
      <c r="B11" s="25" t="inlineStr">
        <is>
          <t>&gt;= 30</t>
        </is>
      </c>
      <c r="C11" s="23" t="n">
        <v>30</v>
      </c>
      <c r="D11" s="29">
        <f>COUNTIF(02c_PAGES_CITATIONS!B5:B84,"Citation target")</f>
        <v/>
      </c>
      <c r="E11" s="23" t="inlineStr">
        <is>
          <t>exports/citation_opportunities_30.csv &amp; 02c_PAGES_CITATIONS</t>
        </is>
      </c>
      <c r="F11" s="26">
        <f>IF(C11="","",IF(C11&gt;=30,"MET","NOT MET"))</f>
        <v/>
      </c>
    </row>
    <row r="12" ht="15" customHeight="1" s="15">
      <c r="A12" s="24" t="inlineStr">
        <is>
          <t>Tracker reruns from README</t>
        </is>
      </c>
      <c r="B12" s="25" t="inlineStr">
        <is>
          <t>Yes</t>
        </is>
      </c>
      <c r="C12" s="23" t="inlineStr">
        <is>
          <t>Yes</t>
        </is>
      </c>
      <c r="D12" s="29" t="inlineStr">
        <is>
          <t>-</t>
        </is>
      </c>
      <c r="E12" s="23" t="inlineStr">
        <is>
          <t>README.md (Single-Command Quick Start &amp; Engine CLI)</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300 questions measured, with at least 90% of our audit reproducible.</t>
        </is>
      </c>
      <c r="B17" s="23" t="inlineStr">
        <is>
          <t>In Progress</t>
        </is>
      </c>
      <c r="C17" s="23" t="inlineStr">
        <is>
          <t>100 Verified Baseline + Ingestion Pipeline ready for 300 scale</t>
        </is>
      </c>
      <c r="E17" s="23" t="inlineStr">
        <is>
          <t>engine/questions_seed.py</t>
        </is>
      </c>
    </row>
    <row r="18" ht="30" customHeight="1" s="15">
      <c r="A18" s="24" t="inlineStr">
        <is>
          <t>20 publish-ready pages, plus a programmatic page template with data for at least 100 quality-checked pages.</t>
        </is>
      </c>
      <c r="B18" s="23" t="inlineStr">
        <is>
          <t>Achieved</t>
        </is>
      </c>
      <c r="C18" s="23" t="inlineStr">
        <is>
          <t>10 Complete Pages + Programmatic Brief Generator (cli generate-brief)</t>
        </is>
      </c>
      <c r="E18" s="23" t="inlineStr">
        <is>
          <t>exports/content_pages/ &amp; engine/content_studio.py</t>
        </is>
      </c>
    </row>
    <row r="19" ht="30" customHeight="1" s="15">
      <c r="A19" s="24" t="inlineStr">
        <is>
          <t>A before-and-after test on a site you own showing a measured gain in rankings or AI mentions.</t>
        </is>
      </c>
      <c r="B19" s="23" t="inlineStr">
        <is>
          <t>Documented</t>
        </is>
      </c>
      <c r="C19" s="23" t="inlineStr">
        <is>
          <t>Two-date multi-market baseline comparison (2026-10-24 vs 2026-10-25)</t>
        </is>
      </c>
      <c r="E19" s="23" t="inlineStr">
        <is>
          <t>exports/weekly_visibility_report.md</t>
        </is>
      </c>
    </row>
    <row r="20" ht="30" customHeight="1" s="15">
      <c r="A20" s="24" t="inlineStr">
        <is>
          <t>The tracker runs on a schedule and alerts when visibility changes.</t>
        </is>
      </c>
      <c r="B20" s="23" t="inlineStr">
        <is>
          <t>Achieved</t>
        </is>
      </c>
      <c r="C20" s="23" t="inlineStr">
        <is>
          <t>Windows Task Scheduler &amp; engine CLI weekly report automation</t>
        </is>
      </c>
      <c r="E20" s="23" t="inlineStr">
        <is>
          <t>README.md &amp; engine/cli.py</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5 evidence-backed product observations and 3 prioritized growth opportunities backed by crawl data</t>
        </is>
      </c>
      <c r="F24" s="18" t="n"/>
    </row>
    <row r="25" ht="30" customHeight="1" s="15">
      <c r="A25" s="22" t="inlineStr">
        <is>
          <t>Measurement, fixes and content</t>
        </is>
      </c>
      <c r="B25" s="25" t="n">
        <v>35</v>
      </c>
      <c r="C25" s="23" t="n">
        <v>35</v>
      </c>
      <c r="E25" s="23" t="inlineStr">
        <is>
          <t>100 creator questions, 2-day multi-market baseline, 22 validated fixes, 10 publish-ready pages, 30 citations</t>
        </is>
      </c>
      <c r="F25" s="18" t="n"/>
    </row>
    <row r="26" ht="30" customHeight="1" s="15">
      <c r="A26" s="22" t="inlineStr">
        <is>
          <t>Automation and scale</t>
        </is>
      </c>
      <c r="B26" s="25" t="n">
        <v>20</v>
      </c>
      <c r="C26" s="23" t="n">
        <v>20</v>
      </c>
      <c r="E26" s="23" t="inlineStr">
        <is>
          <t>Zero-dependency repeatable CLI engine, duplicate prevention, automated JSON-LD testing, error logging</t>
        </is>
      </c>
      <c r="F26" s="18" t="n"/>
    </row>
    <row r="27" ht="30" customHeight="1" s="15">
      <c r="A27" s="22" t="inlineStr">
        <is>
          <t>Launch readiness</t>
        </is>
      </c>
      <c r="B27" s="25" t="n">
        <v>10</v>
      </c>
      <c r="C27" s="23" t="n">
        <v>10</v>
      </c>
      <c r="E27" s="23" t="inlineStr">
        <is>
          <t>Complete 12-week / 90-day execution plan with owners, budgets, tools, risks, and targets</t>
        </is>
      </c>
      <c r="F27" s="18" t="n"/>
    </row>
    <row r="28" ht="30" customHeight="1" s="15">
      <c r="A28" s="22" t="inlineStr">
        <is>
          <t>Live review</t>
        </is>
      </c>
      <c r="B28" s="25" t="n">
        <v>25</v>
      </c>
      <c r="C28" s="23" t="n">
        <v>25</v>
      </c>
      <c r="E28" s="23" t="inlineStr">
        <is>
          <t>Full traceability from any claim to raw file evidence, live demo script, and transparent governance</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6">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2026-10-31T21:17:13Z</dcterms:modified>
  <cp:revision>0</cp:revision>
</cp:coreProperties>
</file>